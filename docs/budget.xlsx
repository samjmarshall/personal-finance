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Savings Schedule" sheetId="2" r:id="rId6"/>
    <sheet state="visible" name="Income" sheetId="3" r:id="rId7"/>
    <sheet state="visible" name="Transaction History" sheetId="4" r:id="rId8"/>
    <sheet state="visible" name="Wishlist" sheetId="5" r:id="rId9"/>
    <sheet state="visible" name="Data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tc={44e8d417-4d31-4bfc-89ce-e4f4c7a22d47}</author>
    <author>tc={9d893018-5ced-400a-9329-8e38131cc1a7}</author>
  </authors>
  <commentList>
    <comment authorId="0" xr:uid="{44e8d417-4d31-4bfc-89ce-e4f4c7a22d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can get away with the current tyres for a bit longer.
</t>
      </text>
    </comment>
    <comment authorId="1" xr:uid="{9d893018-5ced-400a-9329-8e38131cc1a7}" ref="L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$102.6 every 6 weeks
</t>
      </text>
    </comment>
  </commentList>
</comments>
</file>

<file path=xl/sharedStrings.xml><?xml version="1.0" encoding="utf-8"?>
<sst xmlns="http://schemas.openxmlformats.org/spreadsheetml/2006/main" count="3004" uniqueCount="486">
  <si>
    <t>Sam</t>
  </si>
  <si>
    <t>Date</t>
  </si>
  <si>
    <t>Description</t>
  </si>
  <si>
    <t>Inoive / Receipt Description</t>
  </si>
  <si>
    <t>Amount (AUD)</t>
  </si>
  <si>
    <t>Group</t>
  </si>
  <si>
    <t>Frequency</t>
  </si>
  <si>
    <t>Priority</t>
  </si>
  <si>
    <t>Notes</t>
  </si>
  <si>
    <t>Tess</t>
  </si>
  <si>
    <t>BCC RATES &amp; OTHER PYMT BRISBANE AUS</t>
  </si>
  <si>
    <t>Brisbane City Council rates</t>
  </si>
  <si>
    <t>Income</t>
  </si>
  <si>
    <t>One-off</t>
  </si>
  <si>
    <t>Must Have</t>
  </si>
  <si>
    <t>Fortnight</t>
  </si>
  <si>
    <t>Month</t>
  </si>
  <si>
    <t>FOREIGN FEE AUD 1.09</t>
  </si>
  <si>
    <t>Year</t>
  </si>
  <si>
    <t>Foreign transaction fees</t>
  </si>
  <si>
    <t>Recurring</t>
  </si>
  <si>
    <t>Fix</t>
  </si>
  <si>
    <t>Move USD subs to no-FX card</t>
  </si>
  <si>
    <t>ARCHITECTGPT MIAMI USA</t>
  </si>
  <si>
    <t>ArchitectGPT</t>
  </si>
  <si>
    <t>Salary</t>
  </si>
  <si>
    <t>Nice to Have</t>
  </si>
  <si>
    <t>DBS*Brighton YMCA Spring Hill AUS</t>
  </si>
  <si>
    <t>Brighton YMCA</t>
  </si>
  <si>
    <t>Should Have</t>
  </si>
  <si>
    <t>PAYPAL *APPLE.COM/BILL AUS</t>
  </si>
  <si>
    <t>heyu</t>
  </si>
  <si>
    <t>Apple</t>
  </si>
  <si>
    <t>Find Gmail invoice</t>
  </si>
  <si>
    <t>PAYPAL *UBER AU AUS</t>
  </si>
  <si>
    <t>Uber rides</t>
  </si>
  <si>
    <t>FOREIGN FEE AUD 0.74</t>
  </si>
  <si>
    <t>VERCEL MKT NEON COVINA USA</t>
  </si>
  <si>
    <t>Vercel</t>
  </si>
  <si>
    <t>Expenses</t>
  </si>
  <si>
    <t>PAYPAL *PYPL Payin4 AUS</t>
  </si>
  <si>
    <t>KZEMOS AUSTRALIA PTY LTD</t>
  </si>
  <si>
    <t>Candlelight concert</t>
  </si>
  <si>
    <t>PAYPAL *LUCENTGLOBE LU AUS</t>
  </si>
  <si>
    <t>Household Supplies</t>
  </si>
  <si>
    <t>AVERON EXPRESS PTY LTD SANDGATE AUS</t>
  </si>
  <si>
    <t>Averon Express</t>
  </si>
  <si>
    <t>LINKT BRISBANE BRISBANE AUS</t>
  </si>
  <si>
    <t>Linkt tolls</t>
  </si>
  <si>
    <t>DBS*KC Sandgate Pty Lt Sandgate AUS</t>
  </si>
  <si>
    <t>KC Sandgate</t>
  </si>
  <si>
    <t>SUDS AND SEEDS BRISBANE AUS</t>
  </si>
  <si>
    <t>Suds and Seeds</t>
  </si>
  <si>
    <t>ESPRESSO VELOCE Brisbane AUS</t>
  </si>
  <si>
    <t>ESPRESSO VELOCE BRISBANE</t>
  </si>
  <si>
    <t>AMAZON AU MARKETPLACE SYDNEY AUS</t>
  </si>
  <si>
    <t>Treadmill</t>
  </si>
  <si>
    <t>Amazon AU</t>
  </si>
  <si>
    <t>Total</t>
  </si>
  <si>
    <t>AMAZON WEB SERVICES SYDNEY AUS</t>
  </si>
  <si>
    <t>AWS</t>
  </si>
  <si>
    <t>Google Workspace_rekur Sydney AUS</t>
  </si>
  <si>
    <t>Google Workspace (Rekurve)</t>
  </si>
  <si>
    <t>Nobita Trading Co Ltd.</t>
  </si>
  <si>
    <t>Vehicle Maintenance</t>
  </si>
  <si>
    <t>Head unit upgrade</t>
  </si>
  <si>
    <t>PAYPAL *UBEREATS AU AUS</t>
  </si>
  <si>
    <t>Groceries &amp; Food</t>
  </si>
  <si>
    <t>UberEats</t>
  </si>
  <si>
    <t>FOREIGN FEE AUD 10.20</t>
  </si>
  <si>
    <t>ANTHROPIC* CLAUDE SUB SAN FRANCIS USA</t>
  </si>
  <si>
    <t>Anthropic / Claude</t>
  </si>
  <si>
    <t>TFNSW OPAL FARE SYDNEY AUS</t>
  </si>
  <si>
    <t>Public transport</t>
  </si>
  <si>
    <t>Weighted vest</t>
  </si>
  <si>
    <t>FOREIGN FEE AUD 0.90</t>
  </si>
  <si>
    <t>OPENAI *CHATGPT SUBSCR SAN FRANCIS USA</t>
  </si>
  <si>
    <t>Home loan</t>
  </si>
  <si>
    <t>OpenAI ChatGPT</t>
  </si>
  <si>
    <t>Loop Bagels MASCOT AUS</t>
  </si>
  <si>
    <t>LOOP BAGELS MASCOT</t>
  </si>
  <si>
    <t>UBER *TRIP HELP.UBER.C Sydney AUS</t>
  </si>
  <si>
    <t>Savings</t>
  </si>
  <si>
    <t>Home insurance</t>
  </si>
  <si>
    <t>SQ *HUB WYNYARD PTY LT Sydney AUS</t>
  </si>
  <si>
    <t>HUB WYNYARD PTY LT SYDNEY</t>
  </si>
  <si>
    <t>UBER *EATS HELP.UBER.C Sydney AUS</t>
  </si>
  <si>
    <t>Unfold: Story &amp; Reels Maker + heyu</t>
  </si>
  <si>
    <t>FOREIGN FEE AUD 0.86</t>
  </si>
  <si>
    <t>VERCEL INC. COVINA USA</t>
  </si>
  <si>
    <t>Electricity</t>
  </si>
  <si>
    <t>iCloud+ 2TB</t>
  </si>
  <si>
    <t>Apple One Individual</t>
  </si>
  <si>
    <t>CIRCUM AMUSEMENTS MENTONE AUS</t>
  </si>
  <si>
    <t>CIRCUM AMUSEMENTS MENTONE</t>
  </si>
  <si>
    <t>Ford Ranger rego</t>
  </si>
  <si>
    <t>Microsoft-G173755134 Sydney AUS</t>
  </si>
  <si>
    <t>Microsoft</t>
  </si>
  <si>
    <t>PAYPAL *BUPAHIPTYLT AUS</t>
  </si>
  <si>
    <t>Bupa health insurance</t>
  </si>
  <si>
    <t>FOREIGN FEE AUD 5.06</t>
  </si>
  <si>
    <t>PAYPAL *TSINLONETWO TS HKG</t>
  </si>
  <si>
    <t>Tess Clothing</t>
  </si>
  <si>
    <t>Clothing</t>
  </si>
  <si>
    <t>FOREIGN FEE AUD 2.27</t>
  </si>
  <si>
    <t>1PASSWORD TORONTO CAN</t>
  </si>
  <si>
    <t>1Password</t>
  </si>
  <si>
    <t>PET INSURANCE PETSUR CHATSWOOD AUS</t>
  </si>
  <si>
    <t>Pet insurance</t>
  </si>
  <si>
    <t>Paramount+</t>
  </si>
  <si>
    <t>House Maintenance</t>
  </si>
  <si>
    <t>Western Air Cleaner Services Pty Ltd</t>
  </si>
  <si>
    <t>PAYPAL *DISNEYPLUS AUS</t>
  </si>
  <si>
    <t>Disney+</t>
  </si>
  <si>
    <t>SP GRUNT 4X4 HALLAM AUS</t>
  </si>
  <si>
    <t>4WD / auto parts</t>
  </si>
  <si>
    <t>AUTOBARN VIRGINIA VIRGINIA AUS</t>
  </si>
  <si>
    <t>Internet</t>
  </si>
  <si>
    <t>SP WILD AUTO PARTS BUNYIP AUS</t>
  </si>
  <si>
    <t>QUEENSLAND URBAN UTI FORTITUDE V AUS</t>
  </si>
  <si>
    <t>QLD Urban Utilities (water)</t>
  </si>
  <si>
    <t>AppleCare</t>
  </si>
  <si>
    <t>Name</t>
  </si>
  <si>
    <t>Jefferson Ford Pty Ltd</t>
  </si>
  <si>
    <t>Gas</t>
  </si>
  <si>
    <t>Store / Link</t>
  </si>
  <si>
    <t>Cost</t>
  </si>
  <si>
    <t>Category</t>
  </si>
  <si>
    <t>Ranger - Injector Replacement</t>
  </si>
  <si>
    <t>https://drive.google.com/file/d/1Gg1XMyR5ErJG2pxi6IKwILfrsozb6fZj/view?usp=sharing</t>
  </si>
  <si>
    <t>Ford Ranger insurance</t>
  </si>
  <si>
    <t>QT CLINICS PTY LTD MEREWETHER AUS</t>
  </si>
  <si>
    <t>QT Clinics</t>
  </si>
  <si>
    <t>OVO ENERGY PTY LTD MELBOURNE AUS</t>
  </si>
  <si>
    <t>OVO Energy</t>
  </si>
  <si>
    <t>ALLIANZ AUSTRALIA INSU SYDNEY AUS</t>
  </si>
  <si>
    <t>Allianz insurance</t>
  </si>
  <si>
    <t>Required maintenance - Injectors will fail within the next 30,000km.</t>
  </si>
  <si>
    <t>Clothing &amp; Footwear</t>
  </si>
  <si>
    <t>AMAZON AU RETAIL SYDNEY AUS</t>
  </si>
  <si>
    <t>Batteries</t>
  </si>
  <si>
    <t>Home Maintenance</t>
  </si>
  <si>
    <t>C34713 TFR FROM Westpa c Choice</t>
  </si>
  <si>
    <t>CARD PAYMENT</t>
  </si>
  <si>
    <t>n/a</t>
  </si>
  <si>
    <t>Card payment (not spend)</t>
  </si>
  <si>
    <t>AGL SALES 0308 MELBOURNE AUS</t>
  </si>
  <si>
    <t>AGL</t>
  </si>
  <si>
    <t>FOREIGN FEE AUD 0.56</t>
  </si>
  <si>
    <t>PAYPAL *GAIA GAIA INC. USA</t>
  </si>
  <si>
    <t>Gaia</t>
  </si>
  <si>
    <t>Vehicle</t>
  </si>
  <si>
    <t>SMP*EW Cosmetic Injec9 Lawnton AUS</t>
  </si>
  <si>
    <t>Ranger - Turbo Upgrade/Replacement</t>
  </si>
  <si>
    <t>Beauty / body / wellness</t>
  </si>
  <si>
    <t>https://gturbo.com.au/product/turbo-fr-g300-vortex-gold-px1/</t>
  </si>
  <si>
    <t>Phone &amp; Mobile Data</t>
  </si>
  <si>
    <t>PAYPAL *STAN AUS</t>
  </si>
  <si>
    <t>Stan</t>
  </si>
  <si>
    <t>PAYPAL *TEAM BBR TEAM AUS</t>
  </si>
  <si>
    <t>TEAM BBR TEAM</t>
  </si>
  <si>
    <t>4 PAWS DOG GROOMERS SANDGATE AUS</t>
  </si>
  <si>
    <t>Pets</t>
  </si>
  <si>
    <t>Better Towing performance</t>
  </si>
  <si>
    <t>ZLR*Level 10 The Studi teneriffe AUS</t>
  </si>
  <si>
    <t>YoutTube + heyu + Magic faraway tree</t>
  </si>
  <si>
    <t>Rates</t>
  </si>
  <si>
    <t>FOREIGN FEE AUD 0.30</t>
  </si>
  <si>
    <t>PLUS.EXCALIDRAW.COM BRNO CZE</t>
  </si>
  <si>
    <t>Excalidraw Plus</t>
  </si>
  <si>
    <t>PAYPAL *SPOTIFY*P4496E AUS</t>
  </si>
  <si>
    <t>Kitchen Stools</t>
  </si>
  <si>
    <t>Spotify</t>
  </si>
  <si>
    <t>https://www.loungelovers.com.au/arabelle-74cm-bar-stool-walnut</t>
  </si>
  <si>
    <t>PAYPAL *WAVES AU 0400532664 AUS</t>
  </si>
  <si>
    <t>WAVES AU</t>
  </si>
  <si>
    <t>PAYPAL *NETFLIX AUS AUS</t>
  </si>
  <si>
    <t>Netflix</t>
  </si>
  <si>
    <t>PAYPAL *GOOGLE GOOGLE AUS</t>
  </si>
  <si>
    <t>Google One/Play</t>
  </si>
  <si>
    <t>Tesla Inc St Leonards AUS</t>
  </si>
  <si>
    <t>Tesla supercharging</t>
  </si>
  <si>
    <t>PAYPAL *PETBARN AUS</t>
  </si>
  <si>
    <t>Cosmetics</t>
  </si>
  <si>
    <t>House</t>
  </si>
  <si>
    <t>2 x Bean bags for theatre</t>
  </si>
  <si>
    <t>https://www.etsy.com/au/listing/1174140933/textured-linen-bean-bag-cover</t>
  </si>
  <si>
    <t>Hubbl - BINGE Artarmon AUS</t>
  </si>
  <si>
    <t>Binge (Hubbl)</t>
  </si>
  <si>
    <t>Seating for kids</t>
  </si>
  <si>
    <t>Binge Standard</t>
  </si>
  <si>
    <t>iCloud</t>
  </si>
  <si>
    <t>WESTFIELD CHERMSIDE CHERMSIDE AUS</t>
  </si>
  <si>
    <t>WESTFIELD CHERMSIDE CHERMSIDE</t>
  </si>
  <si>
    <t>Furniture</t>
  </si>
  <si>
    <t>Ranger Head Unit/Screen</t>
  </si>
  <si>
    <t>Polaris Universal Maxx</t>
  </si>
  <si>
    <t>Water &amp; Sewage</t>
  </si>
  <si>
    <t>C77403 TFR FROM Westpa c Choice</t>
  </si>
  <si>
    <t>C76760 TFR FROM Westpa c Choice</t>
  </si>
  <si>
    <t>Reverse Camera &amp; Apple Car Play</t>
  </si>
  <si>
    <t>Purchased</t>
  </si>
  <si>
    <t>PAYPAL *DUCKIESSHOE 0410831131 AUS</t>
  </si>
  <si>
    <t>DUCKIESSHOE</t>
  </si>
  <si>
    <t>FOREIGN FEE AUD 0.28</t>
  </si>
  <si>
    <t>Awning Ensuite for the Ute</t>
  </si>
  <si>
    <t>https://caosgear.com.au/products/nomad-shower-tent-awning-foldout-with-roof</t>
  </si>
  <si>
    <t>IKEA Pty Ltd</t>
  </si>
  <si>
    <t>PayPal Pay-in-4 (BNPL)</t>
  </si>
  <si>
    <t>Personal care</t>
  </si>
  <si>
    <t>Awning ensuite of privacy when showering, using the toilet, or simply changing clothes after a swim in a public place.</t>
  </si>
  <si>
    <t>Tully's Bedroom Desk</t>
  </si>
  <si>
    <t>C17900 TFR FROM Westpa c Choice</t>
  </si>
  <si>
    <t>FOREIGN FEE AUD 5.53</t>
  </si>
  <si>
    <t>Camping</t>
  </si>
  <si>
    <t>Awning Ensuite Shower Floor for the Ute</t>
  </si>
  <si>
    <t>https://www.kickassproducts.com.au/buy/shower-base-for-awning/KASTENT-BASE</t>
  </si>
  <si>
    <t>Flick Pest Control</t>
  </si>
  <si>
    <t>Awning ensuite shower floor to keep feet clean during a shower.</t>
  </si>
  <si>
    <t>FOREIGN FEE AUD 0.87</t>
  </si>
  <si>
    <t>Bedside tables</t>
  </si>
  <si>
    <t>FOREIGN FEE AUD 5.09</t>
  </si>
  <si>
    <t>Dinning out</t>
  </si>
  <si>
    <t>MICROSOFT#G167401907 SYDNEY AUS</t>
  </si>
  <si>
    <t>ECOSA GROUP PTY LTD</t>
  </si>
  <si>
    <t>Pet Insurance (Dogs)</t>
  </si>
  <si>
    <t>Tully's Mattress</t>
  </si>
  <si>
    <t>OBD2 Scanner</t>
  </si>
  <si>
    <t>SQ *THE NEST COMMUNITY Strathpine AUS</t>
  </si>
  <si>
    <t>THE NEST COMMUNITY STRATHPINE</t>
  </si>
  <si>
    <t>SUSHI JIRO CHERMSIDE CHERMSIDE AUS</t>
  </si>
  <si>
    <t>SUSHI JIRO CHERMSIDE CHERMSIDE</t>
  </si>
  <si>
    <t>EVENT CINEMAS Sydney AUS</t>
  </si>
  <si>
    <t>EVENT CINEMAS SYDNEY</t>
  </si>
  <si>
    <t>EzyKandy Chermside Chermside AUS</t>
  </si>
  <si>
    <t>EZYKANDY CHERMSIDE CHERMSIDE</t>
  </si>
  <si>
    <t>FOREIGN FEE AUD 1.14</t>
  </si>
  <si>
    <t>Work clothes Tess</t>
  </si>
  <si>
    <t>PAYPAL *CLOUDFLARE USA</t>
  </si>
  <si>
    <t>Cloudflare</t>
  </si>
  <si>
    <t>Brisbane Airport Brisbane Ai AUS</t>
  </si>
  <si>
    <t>Brisbane Airport parking</t>
  </si>
  <si>
    <t>Ford Ranger maintenance</t>
  </si>
  <si>
    <t>SP REMOTE PRO CHANDLER AUS</t>
  </si>
  <si>
    <t>RPM AUTO SHOP PTY LTD SANDGATE AUS</t>
  </si>
  <si>
    <t>AD MURRUMBA DOWNS PTY MURRUMBA DO AUS</t>
  </si>
  <si>
    <t>AD Murrumba Downs</t>
  </si>
  <si>
    <t>PAYPAL *COLESSUPERM AUS</t>
  </si>
  <si>
    <t>Supermarket</t>
  </si>
  <si>
    <t>FOREIGN FEE AUD 8.49</t>
  </si>
  <si>
    <t>PAYPAL *IHERB LLC USA</t>
  </si>
  <si>
    <t>iHerb</t>
  </si>
  <si>
    <t>Bargain House Sandgate AUS</t>
  </si>
  <si>
    <t>BARGAIN HOUSE SANDGATE</t>
  </si>
  <si>
    <t>HBO Max</t>
  </si>
  <si>
    <t>C34150 TFR FROM Westpa c Choice</t>
  </si>
  <si>
    <t>C05991 TFR FROM Westpa c Choice</t>
  </si>
  <si>
    <t>Luca's Wooden Trike</t>
  </si>
  <si>
    <t>Kids Toys / Entertainment</t>
  </si>
  <si>
    <t>PAYPAL *SPOTIFY*P43870 AUS</t>
  </si>
  <si>
    <t xml:space="preserve"> IKEA Pty Ltd</t>
  </si>
  <si>
    <t>Tully's Desk</t>
  </si>
  <si>
    <t>ExtrasReward AMPOL GOONDIWINDI AU</t>
  </si>
  <si>
    <t>EXTRASREWARD AMPOL GOONDIWINDI</t>
  </si>
  <si>
    <t>Refund/credit</t>
  </si>
  <si>
    <t>FOREIGN FEE AUD 1.16</t>
  </si>
  <si>
    <t>MYLACO PTY LTD BOONDALL AUS</t>
  </si>
  <si>
    <t>AMPOL GOONDIWINDI GOONDIWINDI AUS</t>
  </si>
  <si>
    <t>Fuel</t>
  </si>
  <si>
    <t>FOREIGN FEE AUD 5.10</t>
  </si>
  <si>
    <t>PAYPAL *MADPAWSPTYL 0420930092 AUS</t>
  </si>
  <si>
    <t>YoutTube + heyu</t>
  </si>
  <si>
    <t>Binge</t>
  </si>
  <si>
    <t>Pluming equipment</t>
  </si>
  <si>
    <t>TRANSPORTMAINRDS BRISBANE AUS</t>
  </si>
  <si>
    <t>Amazon Prime</t>
  </si>
  <si>
    <t>Transport &amp; Main Roads (rego)</t>
  </si>
  <si>
    <t>DEEPFEET PTY LTD SANDGATE AUS</t>
  </si>
  <si>
    <t>PAYPAL *KMARTAUSTRA AUS</t>
  </si>
  <si>
    <t>KMARTAUSTRA</t>
  </si>
  <si>
    <t>Plunger</t>
  </si>
  <si>
    <t>AMPOL EAGLE FARM EAGLE FARM AUS</t>
  </si>
  <si>
    <t>FOREIGN FEE AUD 0.83</t>
  </si>
  <si>
    <t>FOREIGN FEE AUD 9.25</t>
  </si>
  <si>
    <t>CLAUDE.AI SUBSCRIPTION SAN FRANCIS USA</t>
  </si>
  <si>
    <t>Microsoft-G161158877 Sydney AUS</t>
  </si>
  <si>
    <t>Heyu</t>
  </si>
  <si>
    <t>PAYPAL *ATL ATL AUS</t>
  </si>
  <si>
    <t>ATL ATL</t>
  </si>
  <si>
    <t>PAYPAL *OZHAIRBEAUT OZ AUS</t>
  </si>
  <si>
    <t>Private Health Insurance</t>
  </si>
  <si>
    <t>FOREIGN FEE AUD 1.05</t>
  </si>
  <si>
    <t>NATE AI NEWS + CONSULT SEATTLE USA</t>
  </si>
  <si>
    <t>Nate AI newsletter</t>
  </si>
  <si>
    <t>InstantScripts PTY LTD</t>
  </si>
  <si>
    <t>TRANSLINK TICKETING QLD AUS</t>
  </si>
  <si>
    <t>NOVOSHOEGRO 0393626301 AUS</t>
  </si>
  <si>
    <t>NOVOSHOEGRO</t>
  </si>
  <si>
    <t>Daycare</t>
  </si>
  <si>
    <t>FLEXISPOT PTY.LTD.</t>
  </si>
  <si>
    <t>Standing Desk</t>
  </si>
  <si>
    <t>Light bulbs</t>
  </si>
  <si>
    <t>C86263 TFR FROM Westpa c Choice</t>
  </si>
  <si>
    <t>YMCA</t>
  </si>
  <si>
    <t>PAYPAL *SPOTIFY*P4272B AUS</t>
  </si>
  <si>
    <t>FOREIGN FEE AUD 3.56</t>
  </si>
  <si>
    <t>Tesla Premium Connect...</t>
  </si>
  <si>
    <t>FOREIGN FEE AUD 3.80</t>
  </si>
  <si>
    <t>PAYPAL *PP WISEYA RM3Y CYP</t>
  </si>
  <si>
    <t>Unclear (offshore PayPal)</t>
  </si>
  <si>
    <t>VERIFY - possible fraud</t>
  </si>
  <si>
    <t>7 ELEVEN 4274 BURPENGARY AUS</t>
  </si>
  <si>
    <t>FOREIGN FEE AUD 1.88</t>
  </si>
  <si>
    <t>Ford Ranger Fuel</t>
  </si>
  <si>
    <t>PAYPAL *GITHUB INC USA</t>
  </si>
  <si>
    <t>GitHub</t>
  </si>
  <si>
    <t>LinkedIn Premium Career</t>
  </si>
  <si>
    <t>PAYPAL *TEMU COM AUS</t>
  </si>
  <si>
    <t>Temu</t>
  </si>
  <si>
    <t>Google Cloud</t>
  </si>
  <si>
    <t>FOREIGN FEE AUD 1.50</t>
  </si>
  <si>
    <t>PAYPAL *POPMART HKG</t>
  </si>
  <si>
    <t>Pop Mart</t>
  </si>
  <si>
    <t>ACTIVE OUTTHERE PTY LTD</t>
  </si>
  <si>
    <t>Luca's Trike</t>
  </si>
  <si>
    <t>Tess Hair</t>
  </si>
  <si>
    <t>FOREIGN FEE AUD 0.84</t>
  </si>
  <si>
    <t>Natalia's bracelet making</t>
  </si>
  <si>
    <t>CRED VOUCHER PAYPAL *BIG W AUS</t>
  </si>
  <si>
    <t>REFUND</t>
  </si>
  <si>
    <t>PAYPAL *BOORIAUSTRA BO AUS</t>
  </si>
  <si>
    <t>BOORIAUSTRA BO</t>
  </si>
  <si>
    <t>Dog food</t>
  </si>
  <si>
    <t>PAYPAL *BIG W AUS</t>
  </si>
  <si>
    <t>BIG W</t>
  </si>
  <si>
    <t>Dog grooming</t>
  </si>
  <si>
    <t>PAYPAL *YETIAUSTRAL YE AUS</t>
  </si>
  <si>
    <t>YETIAUSTRAL YE</t>
  </si>
  <si>
    <t>JIMMYS ON THE MALL MELBOURNE AUS</t>
  </si>
  <si>
    <t>JIMMYS ON THE MALL MELBOURNE</t>
  </si>
  <si>
    <t>BRIGHTON PHARMACY BRIGHTON AUS</t>
  </si>
  <si>
    <t>Medical / pharmacy</t>
  </si>
  <si>
    <t>YouTube Premium</t>
  </si>
  <si>
    <t>C96202 TFR FROM Westpa c Choice</t>
  </si>
  <si>
    <t>Tesla Inc Sydney AUS</t>
  </si>
  <si>
    <t>Excalidraw</t>
  </si>
  <si>
    <t>FOREIGN FEE AUD 0.29</t>
  </si>
  <si>
    <t>PAYPAL *SPOTIFY*P4171B AUS</t>
  </si>
  <si>
    <t>PAYPAL *DUCKIESSHOE DU AUS</t>
  </si>
  <si>
    <t>DUCKIESSHOE DU</t>
  </si>
  <si>
    <t>Apple TV+</t>
  </si>
  <si>
    <t>PAYPAL *LUCENTGLOBE AUS</t>
  </si>
  <si>
    <t>PRIME VIDE* PRIMEVIDEO SYDNEY AUS</t>
  </si>
  <si>
    <t>Amazon Prime / Prime Video</t>
  </si>
  <si>
    <t>Creative Market Labs, Inc.</t>
  </si>
  <si>
    <t>Tully's Desk Stickers</t>
  </si>
  <si>
    <t>DEAGON CAR AND DOG WAS Brisbane Ai AUS</t>
  </si>
  <si>
    <t>PALACE CINEMAS FORTITUDE V AUS</t>
  </si>
  <si>
    <t>PALACE CINEMAS FORTITUDE V</t>
  </si>
  <si>
    <t>PAYPAL *DOMINOS DOMINO AUS</t>
  </si>
  <si>
    <t>Dominos</t>
  </si>
  <si>
    <t>UBER *TRIP HELP.UBER.C 14518236738 AUS</t>
  </si>
  <si>
    <t>Chemist Warehouse</t>
  </si>
  <si>
    <t>THE RUSTIC OLIVE REDCL REDCLIFFE AUS</t>
  </si>
  <si>
    <t>THE RUSTIC OLIVE REDCL REDCLIFFE</t>
  </si>
  <si>
    <t>Dinning chair felt pads</t>
  </si>
  <si>
    <t>Glass food containers</t>
  </si>
  <si>
    <t>IREMIA RECOVERY SANDGATE AUS</t>
  </si>
  <si>
    <t>FULL MOON HOTEL SANDGATE AUS</t>
  </si>
  <si>
    <t>FULL MOON HOTEL SANDGATE</t>
  </si>
  <si>
    <t>Full Moon Hotel Sandgate AUS</t>
  </si>
  <si>
    <t>SQ *EARTH MOSS TWINE Redcliffe AUS</t>
  </si>
  <si>
    <t>EARTH MOSS TWINE REDCLIFFE</t>
  </si>
  <si>
    <t>PAYPAL *PAWBOYPTYLT AUS</t>
  </si>
  <si>
    <t>Total Expenses</t>
  </si>
  <si>
    <t>C40238 TFR FROM Westpa c Choice</t>
  </si>
  <si>
    <t>SQ *SUDS AND SEEDS Sandgate AUS</t>
  </si>
  <si>
    <t>PAYPAL *YETIAUSTRAL 0430171996 AUS</t>
  </si>
  <si>
    <t>YETIAUSTRAL</t>
  </si>
  <si>
    <t>Expense Total</t>
  </si>
  <si>
    <t>FOREIGN FEE AUD 3.92</t>
  </si>
  <si>
    <t>PAYPAL *PP WISEYA 3FOU 35314369001 CYP</t>
  </si>
  <si>
    <t>Income Total</t>
  </si>
  <si>
    <t>PAYPAL *SPOTIFY*P40603 AUS</t>
  </si>
  <si>
    <t>Savings Total</t>
  </si>
  <si>
    <t>AMZNPRIMEA* AMZNPRIMEA SYDNEY SOUT AUS</t>
  </si>
  <si>
    <t>MCDONALDS CENTRAL BRISBANE CI AUS</t>
  </si>
  <si>
    <t>McDonalds</t>
  </si>
  <si>
    <t>WeWorkAU Brisbane AUS</t>
  </si>
  <si>
    <t>WeWork</t>
  </si>
  <si>
    <t>SANTA MONICA BRISBANE AUS</t>
  </si>
  <si>
    <t>SANTA MONICA BRISBANE</t>
  </si>
  <si>
    <t>YoutTube + heyu + Wicked 2</t>
  </si>
  <si>
    <t>SP FROM YOU FLOWERS AU AUBURN AUS</t>
  </si>
  <si>
    <t>FROM YOU FLOWERS AU AUBURN</t>
  </si>
  <si>
    <t>HUBBL - BINGE 131999 AUS</t>
  </si>
  <si>
    <t>UAB Hautica</t>
  </si>
  <si>
    <t>Tess's Phone Case</t>
  </si>
  <si>
    <t>Rogue Bistro Newstead AUS</t>
  </si>
  <si>
    <t>ROGUE BISTRO NEWSTEAD</t>
  </si>
  <si>
    <t>Ticketmaster, LLC</t>
  </si>
  <si>
    <t>Boy and Bear Concert</t>
  </si>
  <si>
    <t>heyu + The Housemaid</t>
  </si>
  <si>
    <t>LEVEL 10 THE STUDIO Teneriffe AUS</t>
  </si>
  <si>
    <t>SQ *AOIFE BREEN Brisbane Ci AUS</t>
  </si>
  <si>
    <t>FOREIGN FEE AUD 4.12</t>
  </si>
  <si>
    <t>FOREIGN FEE AUD 0.85</t>
  </si>
  <si>
    <t>VERCEL COVINA USA</t>
  </si>
  <si>
    <t>FOREIGN FEE AUD 1.02</t>
  </si>
  <si>
    <t>DEPARTMENT OF EDUCATIO BRISBANE AUS</t>
  </si>
  <si>
    <t>Dept of Education</t>
  </si>
  <si>
    <t>FOREIGN FEE AUD 3.40</t>
  </si>
  <si>
    <t>C36231 TFR FROM Westpa c Choice</t>
  </si>
  <si>
    <t>Books</t>
  </si>
  <si>
    <t>FOREIGN FEE AUD 3.85</t>
  </si>
  <si>
    <t>ALDI STORES SANDGATE AUS</t>
  </si>
  <si>
    <t>FOREIGN FEE AUD 0.47</t>
  </si>
  <si>
    <t>PAYPAL *SPOTIFY*P3F5BF AUS</t>
  </si>
  <si>
    <t>WALLFLOWER DEAGON DEAGON AUS</t>
  </si>
  <si>
    <t>WALLFLOWER DEAGON DEAGON</t>
  </si>
  <si>
    <t>WOOLWORTHS 2605 SANDGATE AUS</t>
  </si>
  <si>
    <t>FOREIGN FEE AUD 1.40</t>
  </si>
  <si>
    <t>PAYPAL *KOJEVA KOJEVA USA</t>
  </si>
  <si>
    <t>Kojeva Lymphatic Face Brush</t>
  </si>
  <si>
    <t>Wellness</t>
  </si>
  <si>
    <t>METRO SANDGATE - INSTO SANDGATE AUS</t>
  </si>
  <si>
    <t>AM VISTA PTY LTD GEEBUNG AUS</t>
  </si>
  <si>
    <t>AM VISTA PTY LTD GEEBUNG</t>
  </si>
  <si>
    <t>PAYPAL *POPMARTOCEA 13116017100 AUS</t>
  </si>
  <si>
    <t>Adventure Trading Australia Pty Ltd</t>
  </si>
  <si>
    <t>OzTrail Umbrella</t>
  </si>
  <si>
    <t>CRED VOUCHER APPLE.COM/AU Sydney AUS</t>
  </si>
  <si>
    <t>HowardSmithWharvesPark Fortitude V AUS</t>
  </si>
  <si>
    <t>HOWARDSMITHWHARVESPARK FORTITUDE V</t>
  </si>
  <si>
    <t>FortitudeValley Fortitude V AUS</t>
  </si>
  <si>
    <t>FORTITUDEVALLEY FORTITUDE V</t>
  </si>
  <si>
    <t>Stanley Brisbane AUS</t>
  </si>
  <si>
    <t>STANLEY BRISBANE</t>
  </si>
  <si>
    <t>Predator: Badlands</t>
  </si>
  <si>
    <t>Suncreen &amp; cable ties</t>
  </si>
  <si>
    <t>PAYPAL *CHEMISTWH CWAU 0403620213 AUS</t>
  </si>
  <si>
    <t>C27911 TFR FROM Westpa c Choice</t>
  </si>
  <si>
    <t>Pin* imedical Pyrmont AUS</t>
  </si>
  <si>
    <t>PAYPAL *POPMARTOCEA AUS</t>
  </si>
  <si>
    <t>CRED VOUCHER PAYPAL *APPLE.COM/BILL AUS</t>
  </si>
  <si>
    <t>Adventure Online Pty Ltd</t>
  </si>
  <si>
    <t>DAVID JONES PTY LIMITED</t>
  </si>
  <si>
    <t>APPLE.COM/AU Sydney AUS</t>
  </si>
  <si>
    <t>Apple Airpod Pros</t>
  </si>
  <si>
    <t>Apple iPhone</t>
  </si>
  <si>
    <t>CRED VOUCHER PAYPAL *AIRBNBPAYME HM AUS</t>
  </si>
  <si>
    <t>QUEENSLAND TITLES REGI BRISBANE AUS</t>
  </si>
  <si>
    <t>QUEENSLAND TITLES REGI BRISBANE</t>
  </si>
  <si>
    <t>C12110 TFR FROM Westpa c Choice</t>
  </si>
  <si>
    <t>PAYPAL *BOOKINGCOMA HO AUS</t>
  </si>
  <si>
    <t>Travel accommodation</t>
  </si>
  <si>
    <t>Apple TV</t>
  </si>
  <si>
    <t>99 Bikes - Lawton Lawnton AUS</t>
  </si>
  <si>
    <t>99 Bikes</t>
  </si>
  <si>
    <t>Apple Arcade</t>
  </si>
  <si>
    <t>Mozzie repellent</t>
  </si>
  <si>
    <t>ATO Payment Adelaide AUS</t>
  </si>
  <si>
    <t>ATO</t>
  </si>
  <si>
    <t>Home consumables</t>
  </si>
  <si>
    <t>C82814 TFR FROM Westpa c Choice</t>
  </si>
  <si>
    <t>PAYPAL *PP WISEYA TU1J 35314369001 CYP</t>
  </si>
  <si>
    <t>FOREIGN FEE AUD 0.31</t>
  </si>
  <si>
    <t>C24017 TFR FROM Westpa c Choice</t>
  </si>
  <si>
    <t>PAYPAL *SPOTIFY*P3E65F AUS</t>
  </si>
  <si>
    <t>FOREIGN FEE AUD 2.67</t>
  </si>
  <si>
    <t>PAYPAL *COOKIDOO CHE</t>
  </si>
  <si>
    <t>Cookidoo</t>
  </si>
  <si>
    <t>YoutTube + heyu + Mission Impossible</t>
  </si>
  <si>
    <t>Baby mirror</t>
  </si>
  <si>
    <t>PAYPAL *AIRBNBPAYME HM AUS</t>
  </si>
  <si>
    <t>THE GOOD GUYS DISCOUNT WAREHOUSES (AUSTRALIA) PTY LTD</t>
  </si>
  <si>
    <t>PAYPAL *HEALTHDELIV SGP</t>
  </si>
  <si>
    <t>JOS ROADHOUSE AVONDALE AUS</t>
  </si>
  <si>
    <t>PAYPAL *DAYCARESWAG AUS</t>
  </si>
  <si>
    <t>Daycare Swag</t>
  </si>
  <si>
    <t>FOREIGN FEE AUD 0.43</t>
  </si>
  <si>
    <t>PAYPAL *CRAZYDOMAIN SGP</t>
  </si>
  <si>
    <t>CrazyDomains</t>
  </si>
  <si>
    <t>Weight</t>
  </si>
  <si>
    <t>Urgent</t>
  </si>
  <si>
    <t>Unnecessary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</si>
</sst>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&quot;$&quot;#,##0.00"/>
    <numFmt numFmtId="166" formatCode="mmmm yyyy"/>
    <numFmt numFmtId="167" formatCode="d&quot;/&quot;m&quot;/&quot;yy"/>
    <numFmt numFmtId="168" formatCode="&quot;$&quot;#,##0"/>
  </numFmts>
  <fonts count="19">
    <font>
      <sz val="10.0"/>
      <color rgb="FF000000"/>
      <name val="Arial"/>
      <scheme val="minor"/>
    </font>
    <font>
      <b/>
      <color theme="1"/>
      <name val="Arial"/>
    </font>
    <font>
      <b/>
      <sz val="14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i/>
      <sz val="9.0"/>
      <color theme="1"/>
      <name val="Arial"/>
      <scheme val="minor"/>
    </font>
    <font>
      <b/>
      <i/>
      <sz val="9.0"/>
      <color theme="1"/>
      <name val="Arial"/>
    </font>
    <font>
      <color rgb="FF0C0C0D"/>
      <name val="PayPalSansBig-Regular"/>
    </font>
    <font>
      <u/>
      <color rgb="FF0000FF"/>
    </font>
    <font>
      <sz val="11.0"/>
      <color rgb="FF525066"/>
      <name val="Monospace"/>
    </font>
    <font>
      <u/>
      <color rgb="FF1155CC"/>
      <name val="Arial"/>
    </font>
    <font>
      <u/>
      <color rgb="FF1155CC"/>
    </font>
    <font>
      <u/>
      <color rgb="FF0000FF"/>
    </font>
    <font>
      <sz val="11.0"/>
      <color rgb="FF525066"/>
      <name val="Arial"/>
    </font>
    <font>
      <u/>
      <color rgb="FF1155CC"/>
      <name val="Arial"/>
      <scheme val="minor"/>
    </font>
    <font>
      <color rgb="FF0C0C0D"/>
      <name val="Arial"/>
    </font>
    <font>
      <sz val="10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1F1F1"/>
        <bgColor rgb="FFF1F1F1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2" fillId="2" fontId="2" numFmtId="0" xfId="0" applyAlignment="1" applyBorder="1" applyFont="1">
      <alignment readingOrder="0"/>
    </xf>
    <xf borderId="0" fillId="0" fontId="3" numFmtId="164" xfId="0" applyAlignment="1" applyFont="1" applyNumberFormat="1">
      <alignment horizontal="right" vertical="bottom"/>
    </xf>
    <xf borderId="1" fillId="3" fontId="2" numFmtId="0" xfId="0" applyAlignment="1" applyBorder="1" applyFill="1" applyFont="1">
      <alignment readingOrder="0"/>
    </xf>
    <xf borderId="0" fillId="0" fontId="3" numFmtId="0" xfId="0" applyAlignment="1" applyFont="1">
      <alignment vertical="bottom"/>
    </xf>
    <xf borderId="3" fillId="3" fontId="4" numFmtId="0" xfId="0" applyBorder="1" applyFont="1"/>
    <xf borderId="0" fillId="0" fontId="3" numFmtId="165" xfId="0" applyAlignment="1" applyFont="1" applyNumberFormat="1">
      <alignment horizontal="right" vertical="bottom"/>
    </xf>
    <xf borderId="4" fillId="3" fontId="4" numFmtId="0" xfId="0" applyBorder="1" applyFont="1"/>
    <xf borderId="5" fillId="4" fontId="5" numFmtId="0" xfId="0" applyAlignment="1" applyBorder="1" applyFill="1" applyFont="1">
      <alignment readingOrder="0"/>
    </xf>
    <xf borderId="0" fillId="4" fontId="6" numFmtId="0" xfId="0" applyAlignment="1" applyFont="1">
      <alignment readingOrder="0"/>
    </xf>
    <xf borderId="2" fillId="4" fontId="6" numFmtId="0" xfId="0" applyAlignment="1" applyBorder="1" applyFont="1">
      <alignment readingOrder="0"/>
    </xf>
    <xf borderId="5" fillId="5" fontId="5" numFmtId="0" xfId="0" applyAlignment="1" applyBorder="1" applyFill="1" applyFont="1">
      <alignment readingOrder="0"/>
    </xf>
    <xf borderId="0" fillId="0" fontId="3" numFmtId="0" xfId="0" applyAlignment="1" applyFont="1">
      <alignment readingOrder="0" vertical="bottom"/>
    </xf>
    <xf borderId="0" fillId="5" fontId="6" numFmtId="0" xfId="0" applyAlignment="1" applyFont="1">
      <alignment readingOrder="0"/>
    </xf>
    <xf borderId="2" fillId="5" fontId="6" numFmtId="0" xfId="0" applyAlignment="1" applyBorder="1" applyFont="1">
      <alignment readingOrder="0"/>
    </xf>
    <xf borderId="0" fillId="4" fontId="7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4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4" numFmtId="165" xfId="0" applyAlignment="1" applyFont="1" applyNumberFormat="1">
      <alignment readingOrder="0"/>
    </xf>
    <xf borderId="2" fillId="0" fontId="4" numFmtId="165" xfId="0" applyBorder="1" applyFont="1" applyNumberFormat="1"/>
    <xf borderId="5" fillId="5" fontId="7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2" fillId="0" fontId="4" numFmtId="165" xfId="0" applyBorder="1" applyFont="1" applyNumberFormat="1"/>
    <xf borderId="5" fillId="4" fontId="7" numFmtId="0" xfId="0" applyAlignment="1" applyBorder="1" applyFont="1">
      <alignment readingOrder="0"/>
    </xf>
    <xf borderId="0" fillId="0" fontId="4" numFmtId="165" xfId="0" applyAlignment="1" applyFont="1" applyNumberFormat="1">
      <alignment readingOrder="0"/>
    </xf>
    <xf borderId="2" fillId="0" fontId="4" numFmtId="165" xfId="0" applyBorder="1" applyFont="1" applyNumberFormat="1"/>
    <xf borderId="5" fillId="5" fontId="7" numFmtId="0" xfId="0" applyAlignment="1" applyBorder="1" applyFont="1">
      <alignment readingOrder="0"/>
    </xf>
    <xf borderId="2" fillId="0" fontId="3" numFmtId="0" xfId="0" applyAlignment="1" applyBorder="1" applyFont="1">
      <alignment vertical="bottom"/>
    </xf>
    <xf borderId="2" fillId="0" fontId="4" numFmtId="0" xfId="0" applyBorder="1" applyFont="1"/>
    <xf borderId="6" fillId="4" fontId="7" numFmtId="0" xfId="0" applyAlignment="1" applyBorder="1" applyFont="1">
      <alignment readingOrder="0"/>
    </xf>
    <xf borderId="7" fillId="0" fontId="4" numFmtId="0" xfId="0" applyBorder="1" applyFont="1"/>
    <xf borderId="8" fillId="0" fontId="4" numFmtId="0" xfId="0" applyBorder="1" applyFont="1"/>
    <xf borderId="2" fillId="0" fontId="3" numFmtId="0" xfId="0" applyAlignment="1" applyBorder="1" applyFont="1">
      <alignment vertical="bottom"/>
    </xf>
    <xf borderId="6" fillId="5" fontId="7" numFmtId="0" xfId="0" applyAlignment="1" applyBorder="1" applyFont="1">
      <alignment readingOrder="0"/>
    </xf>
    <xf borderId="7" fillId="0" fontId="4" numFmtId="0" xfId="0" applyBorder="1" applyFont="1"/>
    <xf borderId="8" fillId="0" fontId="4" numFmtId="0" xfId="0" applyBorder="1" applyFont="1"/>
    <xf borderId="0" fillId="0" fontId="6" numFmtId="0" xfId="0" applyAlignment="1" applyFont="1">
      <alignment horizontal="right" readingOrder="0"/>
    </xf>
    <xf borderId="0" fillId="0" fontId="4" numFmtId="165" xfId="0" applyFont="1" applyNumberFormat="1"/>
    <xf borderId="0" fillId="0" fontId="4" numFmtId="165" xfId="0" applyFont="1" applyNumberFormat="1"/>
    <xf borderId="5" fillId="6" fontId="8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1" numFmtId="167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5" fillId="7" fontId="8" numFmtId="0" xfId="0" applyAlignment="1" applyBorder="1" applyFill="1" applyFont="1">
      <alignment shrinkToFit="0" vertical="bottom" wrapText="0"/>
    </xf>
    <xf borderId="5" fillId="8" fontId="8" numFmtId="0" xfId="0" applyAlignment="1" applyBorder="1" applyFill="1" applyFont="1">
      <alignment shrinkToFit="0" vertical="bottom" wrapText="0"/>
    </xf>
    <xf borderId="0" fillId="0" fontId="3" numFmtId="165" xfId="0" applyAlignment="1" applyFont="1" applyNumberFormat="1">
      <alignment readingOrder="0" vertical="bottom"/>
    </xf>
    <xf borderId="0" fillId="0" fontId="3" numFmtId="168" xfId="0" applyAlignment="1" applyFont="1" applyNumberFormat="1">
      <alignment shrinkToFit="0" vertical="bottom" wrapText="0"/>
    </xf>
    <xf borderId="0" fillId="0" fontId="3" numFmtId="168" xfId="0" applyAlignment="1" applyFont="1" applyNumberFormat="1">
      <alignment readingOrder="0" shrinkToFit="0" vertical="bottom" wrapText="0"/>
    </xf>
    <xf borderId="2" fillId="0" fontId="3" numFmtId="168" xfId="0" applyAlignment="1" applyBorder="1" applyFont="1" applyNumberFormat="1">
      <alignment shrinkToFit="0" vertical="bottom" wrapText="0"/>
    </xf>
    <xf borderId="0" fillId="5" fontId="8" numFmtId="0" xfId="0" applyAlignment="1" applyFont="1">
      <alignment readingOrder="0" shrinkToFit="0" vertical="bottom" wrapText="0"/>
    </xf>
    <xf borderId="5" fillId="4" fontId="8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vertical="bottom"/>
    </xf>
    <xf borderId="5" fillId="6" fontId="8" numFmtId="0" xfId="0" applyAlignment="1" applyBorder="1" applyFont="1">
      <alignment readingOrder="0" shrinkToFit="0" vertical="bottom" wrapText="0"/>
    </xf>
    <xf borderId="5" fillId="7" fontId="8" numFmtId="0" xfId="0" applyAlignment="1" applyBorder="1" applyFont="1">
      <alignment readingOrder="0" shrinkToFit="0" vertical="bottom" wrapText="0"/>
    </xf>
    <xf borderId="0" fillId="9" fontId="6" numFmtId="0" xfId="0" applyAlignment="1" applyFill="1" applyFont="1">
      <alignment readingOrder="0"/>
    </xf>
    <xf borderId="0" fillId="10" fontId="9" numFmtId="0" xfId="0" applyAlignment="1" applyFill="1" applyFont="1">
      <alignment horizontal="left" readingOrder="0"/>
    </xf>
    <xf borderId="0" fillId="9" fontId="6" numFmtId="0" xfId="0" applyAlignment="1" applyFont="1">
      <alignment readingOrder="0" shrinkToFit="0" wrapText="1"/>
    </xf>
    <xf borderId="0" fillId="9" fontId="6" numFmtId="165" xfId="0" applyAlignment="1" applyFont="1" applyNumberFormat="1">
      <alignment readingOrder="0"/>
    </xf>
    <xf borderId="0" fillId="7" fontId="6" numFmtId="0" xfId="0" applyAlignment="1" applyFont="1">
      <alignment readingOrder="0"/>
    </xf>
    <xf borderId="5" fillId="4" fontId="8" numFmtId="0" xfId="0" applyAlignment="1" applyBorder="1" applyFont="1">
      <alignment readingOrder="0" shrinkToFit="0" vertical="bottom" wrapText="0"/>
    </xf>
    <xf borderId="2" fillId="0" fontId="3" numFmtId="168" xfId="0" applyAlignment="1" applyBorder="1" applyFont="1" applyNumberFormat="1">
      <alignment readingOrder="0" shrinkToFit="0" vertical="bottom" wrapText="0"/>
    </xf>
    <xf borderId="0" fillId="0" fontId="3" numFmtId="168" xfId="0" applyAlignment="1" applyFont="1" applyNumberFormat="1">
      <alignment horizontal="right" vertical="bottom"/>
    </xf>
    <xf borderId="0" fillId="0" fontId="10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11" fontId="11" numFmtId="0" xfId="0" applyAlignment="1" applyFill="1" applyFont="1">
      <alignment readingOrder="0"/>
    </xf>
    <xf borderId="0" fillId="5" fontId="8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wrapText="1"/>
    </xf>
    <xf borderId="0" fillId="0" fontId="3" numFmtId="168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3" numFmtId="0" xfId="0" applyAlignment="1" applyFont="1">
      <alignment readingOrder="0" shrinkToFit="0" wrapText="1"/>
    </xf>
    <xf borderId="0" fillId="0" fontId="1" numFmtId="0" xfId="0" applyAlignment="1" applyFont="1">
      <alignment horizontal="right" vertical="bottom"/>
    </xf>
    <xf borderId="5" fillId="4" fontId="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wrapText="1"/>
    </xf>
    <xf borderId="0" fillId="5" fontId="3" numFmtId="49" xfId="0" applyAlignment="1" applyFont="1" applyNumberFormat="1">
      <alignment shrinkToFit="0" vertical="bottom" wrapText="0"/>
    </xf>
    <xf borderId="0" fillId="0" fontId="4" numFmtId="0" xfId="0" applyFont="1"/>
    <xf borderId="0" fillId="11" fontId="15" numFmtId="0" xfId="0" applyAlignment="1" applyFont="1">
      <alignment readingOrder="0"/>
    </xf>
    <xf borderId="0" fillId="0" fontId="16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5" fillId="8" fontId="8" numFmtId="0" xfId="0" applyAlignment="1" applyBorder="1" applyFont="1">
      <alignment readingOrder="0" shrinkToFit="0" vertical="bottom" wrapText="0"/>
    </xf>
    <xf borderId="0" fillId="7" fontId="6" numFmtId="0" xfId="0" applyFont="1"/>
    <xf borderId="2" fillId="0" fontId="3" numFmtId="168" xfId="0" applyAlignment="1" applyBorder="1" applyFont="1" applyNumberFormat="1">
      <alignment vertical="bottom"/>
    </xf>
    <xf borderId="5" fillId="7" fontId="3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10" fontId="17" numFmtId="0" xfId="0" applyAlignment="1" applyFont="1">
      <alignment horizontal="left" readingOrder="0"/>
    </xf>
    <xf borderId="5" fillId="6" fontId="3" numFmtId="0" xfId="0" applyAlignment="1" applyBorder="1" applyFont="1">
      <alignment shrinkToFit="0" vertical="bottom" wrapText="0"/>
    </xf>
    <xf borderId="0" fillId="10" fontId="3" numFmtId="0" xfId="0" applyAlignment="1" applyFont="1">
      <alignment shrinkToFit="0" vertical="bottom" wrapText="0"/>
    </xf>
    <xf borderId="5" fillId="6" fontId="3" numFmtId="0" xfId="0" applyAlignment="1" applyBorder="1" applyFont="1">
      <alignment shrinkToFit="0" vertical="bottom" wrapText="0"/>
    </xf>
    <xf borderId="5" fillId="7" fontId="3" numFmtId="0" xfId="0" applyAlignment="1" applyBorder="1" applyFont="1">
      <alignment shrinkToFit="0" vertical="bottom" wrapText="0"/>
    </xf>
    <xf borderId="5" fillId="4" fontId="3" numFmtId="0" xfId="0" applyAlignment="1" applyBorder="1" applyFont="1">
      <alignment shrinkToFit="0" vertical="bottom" wrapText="0"/>
    </xf>
    <xf borderId="0" fillId="7" fontId="3" numFmtId="0" xfId="0" applyAlignment="1" applyFont="1">
      <alignment shrinkToFit="0" vertical="bottom" wrapText="0"/>
    </xf>
    <xf borderId="5" fillId="8" fontId="3" numFmtId="0" xfId="0" applyAlignment="1" applyBorder="1" applyFont="1">
      <alignment shrinkToFit="0" vertical="bottom" wrapText="0"/>
    </xf>
    <xf borderId="6" fillId="6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6" fillId="7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6" fillId="8" fontId="3" numFmtId="0" xfId="0" applyAlignment="1" applyBorder="1" applyFont="1">
      <alignment shrinkToFit="0" vertical="bottom" wrapText="0"/>
    </xf>
    <xf borderId="7" fillId="0" fontId="3" numFmtId="168" xfId="0" applyAlignment="1" applyBorder="1" applyFont="1" applyNumberFormat="1">
      <alignment shrinkToFit="0" vertical="bottom" wrapText="0"/>
    </xf>
    <xf borderId="8" fillId="0" fontId="3" numFmtId="168" xfId="0" applyAlignment="1" applyBorder="1" applyFont="1" applyNumberFormat="1">
      <alignment shrinkToFit="0" vertical="bottom" wrapText="0"/>
    </xf>
    <xf borderId="7" fillId="5" fontId="3" numFmtId="49" xfId="0" applyAlignment="1" applyBorder="1" applyFont="1" applyNumberFormat="1">
      <alignment shrinkToFit="0" vertical="bottom" wrapText="0"/>
    </xf>
    <xf borderId="6" fillId="4" fontId="3" numFmtId="0" xfId="0" applyAlignment="1" applyBorder="1" applyFont="1">
      <alignment shrinkToFit="0" vertical="bottom" wrapText="0"/>
    </xf>
    <xf borderId="0" fillId="0" fontId="3" numFmtId="168" xfId="0" applyAlignment="1" applyFont="1" applyNumberFormat="1">
      <alignment vertical="bottom"/>
    </xf>
    <xf borderId="0" fillId="12" fontId="1" numFmtId="0" xfId="0" applyAlignment="1" applyFill="1" applyFont="1">
      <alignment vertical="bottom"/>
    </xf>
    <xf borderId="0" fillId="12" fontId="3" numFmtId="168" xfId="0" applyAlignment="1" applyFont="1" applyNumberFormat="1">
      <alignment horizontal="right" vertical="bottom"/>
    </xf>
    <xf borderId="0" fillId="9" fontId="1" numFmtId="0" xfId="0" applyAlignment="1" applyFont="1">
      <alignment vertical="bottom"/>
    </xf>
    <xf borderId="0" fillId="9" fontId="3" numFmtId="168" xfId="0" applyAlignment="1" applyFont="1" applyNumberFormat="1">
      <alignment horizontal="right" vertical="bottom"/>
    </xf>
    <xf borderId="0" fillId="13" fontId="1" numFmtId="0" xfId="0" applyAlignment="1" applyFill="1" applyFont="1">
      <alignment vertical="bottom"/>
    </xf>
    <xf borderId="0" fillId="13" fontId="3" numFmtId="168" xfId="0" applyAlignment="1" applyFont="1" applyNumberFormat="1">
      <alignment horizontal="right" vertical="bottom"/>
    </xf>
    <xf borderId="0" fillId="3" fontId="1" numFmtId="165" xfId="0" applyAlignment="1" applyFont="1" applyNumberFormat="1">
      <alignment vertical="bottom"/>
    </xf>
    <xf borderId="0" fillId="3" fontId="3" numFmtId="168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2" fontId="3" numFmtId="168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10" fontId="1" numFmtId="165" xfId="0" applyAlignment="1" applyFont="1" applyNumberFormat="1">
      <alignment vertical="bottom"/>
    </xf>
    <xf borderId="0" fillId="10" fontId="18" numFmtId="0" xfId="0" applyFont="1"/>
    <xf borderId="0" fillId="10" fontId="18" numFmtId="0" xfId="0" applyAlignment="1" applyFont="1">
      <alignment readingOrder="0"/>
    </xf>
    <xf borderId="0" fillId="0" fontId="3" numFmtId="168" xfId="0" applyAlignment="1" applyFont="1" applyNumberFormat="1">
      <alignment readingOrder="0" vertical="bottom"/>
    </xf>
    <xf borderId="0" fillId="0" fontId="4" numFmtId="164" xfId="0" applyFont="1" applyNumberFormat="1"/>
    <xf borderId="0" fillId="10" fontId="0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  <tableStyles count="5">
    <tableStyle count="4" pivot="0" name="Expe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s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Savings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'Savings Schedule'!$A$2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'Savings Schedule'!$B$1:$O$1</c:f>
            </c:strRef>
          </c:cat>
          <c:val>
            <c:numRef>
              <c:f>'Savings Schedule'!$B$2:$O$2</c:f>
              <c:numCache/>
            </c:numRef>
          </c:val>
          <c:smooth val="0"/>
        </c:ser>
        <c:axId val="594616465"/>
        <c:axId val="406150483"/>
      </c:lineChart>
      <c:catAx>
        <c:axId val="594616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150483"/>
      </c:catAx>
      <c:valAx>
        <c:axId val="406150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Savings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616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38100</xdr:rowOff>
    </xdr:from>
    <xdr:ext cx="14401800" cy="8896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 Marshall" id="{9f50eb48-4d1f-4d6c-8d38-3decf4ea0770}" providerId="google-sheets"/>
</x18tc:personList>
</file>

<file path=xl/tables/table1.xml><?xml version="1.0" encoding="utf-8"?>
<table xmlns="http://schemas.openxmlformats.org/spreadsheetml/2006/main" ref="A2:D33" displayName="General_Spending" name="General_Spending" id="1">
  <tableColumns count="4">
    <tableColumn name="Expenses" id="1"/>
    <tableColumn name="Fortnight" id="2"/>
    <tableColumn name="Month" id="3"/>
    <tableColumn name="Year" id="4"/>
  </tableColumns>
  <tableStyleInfo name="Expenses-style" showColumnStripes="0" showFirstColumn="1" showLastColumn="1" showRowStripes="1"/>
</table>
</file>

<file path=xl/tables/table2.xml><?xml version="1.0" encoding="utf-8"?>
<table xmlns="http://schemas.openxmlformats.org/spreadsheetml/2006/main" ref="F2:I33" displayName="Debt" name="Debt" id="2">
  <tableColumns count="4">
    <tableColumn name="Expenses" id="1"/>
    <tableColumn name="Fortnight" id="2"/>
    <tableColumn name="Month" id="3"/>
    <tableColumn name="Year" id="4"/>
  </tableColumns>
  <tableStyleInfo name="Expenses-style 2" showColumnStripes="0" showFirstColumn="1" showLastColumn="1" showRowStripes="1"/>
</table>
</file>

<file path=xl/tables/table3.xml><?xml version="1.0" encoding="utf-8"?>
<table xmlns="http://schemas.openxmlformats.org/spreadsheetml/2006/main" ref="K2:N33" displayName="Monthly_Bills" name="Monthly_Bills" id="3">
  <tableColumns count="4">
    <tableColumn name="Expenses" id="1"/>
    <tableColumn name="Fortnight" id="2"/>
    <tableColumn name="Month" id="3"/>
    <tableColumn name="Year" id="4"/>
  </tableColumns>
  <tableStyleInfo name="Expenses-style 3" showColumnStripes="0" showFirstColumn="1" showLastColumn="1" showRowStripes="1"/>
</table>
</file>

<file path=xl/tables/table4.xml><?xml version="1.0" encoding="utf-8"?>
<table xmlns="http://schemas.openxmlformats.org/spreadsheetml/2006/main" ref="P2:S33" displayName="Quarterly_Bills" name="Quarterly_Bills" id="4">
  <tableColumns count="4">
    <tableColumn name="Expenses" id="1"/>
    <tableColumn name="Fortnight" id="2"/>
    <tableColumn name="Month" id="3"/>
    <tableColumn name="Year" id="4"/>
  </tableColumns>
  <tableStyleInfo name="Expenses-style 4" showColumnStripes="0" showFirstColumn="1" showLastColumn="1" showRowStripes="1"/>
</table>
</file>

<file path=xl/tables/table5.xml><?xml version="1.0" encoding="utf-8"?>
<table xmlns="http://schemas.openxmlformats.org/spreadsheetml/2006/main" ref="U2:X33" displayName="Annual_Bills" name="Annual_Bills" id="5">
  <tableColumns count="4">
    <tableColumn name="Expenses" id="1"/>
    <tableColumn name="Fortnight" id="2"/>
    <tableColumn name="Month" id="3"/>
    <tableColumn name="Year" id="4"/>
  </tableColumns>
  <tableStyleInfo name="Expense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2-05-11T21:44:02.00" personId="{9f50eb48-4d1f-4d6c-8d38-3decf4ea0770}" id="{44e8d417-4d31-4bfc-89ce-e4f4c7a22d47}" done="0">
    <x18tc:text xml:space="preserve">I can get away with the current tyres for a bit longer.</x18tc:text>
  </x18tc:threadedComment>
  <x18tc:threadedComment ref="L25" dT="2025-09-05T14:44:52.00" personId="{9f50eb48-4d1f-4d6c-8d38-3decf4ea0770}" id="{9d893018-5ced-400a-9329-8e38131cc1a7}" done="1">
    <x18tc:text xml:space="preserve">$102.6 every 6 weeks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g1XMyR5ErJG2pxi6IKwILfrsozb6fZj/view?usp=sharing" TargetMode="External"/><Relationship Id="rId2" Type="http://schemas.openxmlformats.org/officeDocument/2006/relationships/hyperlink" Target="https://gturbo.com.au/product/turbo-fr-g300-vortex-gold-px1/" TargetMode="External"/><Relationship Id="rId3" Type="http://schemas.openxmlformats.org/officeDocument/2006/relationships/hyperlink" Target="https://www.loungelovers.com.au/arabelle-74cm-bar-stool-walnut" TargetMode="External"/><Relationship Id="rId4" Type="http://schemas.openxmlformats.org/officeDocument/2006/relationships/hyperlink" Target="https://www.etsy.com/au/listing/1174140933/textured-linen-bean-bag-cover" TargetMode="External"/><Relationship Id="rId5" Type="http://schemas.openxmlformats.org/officeDocument/2006/relationships/hyperlink" Target="https://polarisgps.com.au/product/universal-maxx/?bundle_quantity_19=1&amp;bundle_variation_id_19=9377&amp;bundle_attribute_pa_indashcamera_19=170-miniature-camera" TargetMode="External"/><Relationship Id="rId6" Type="http://schemas.openxmlformats.org/officeDocument/2006/relationships/hyperlink" Target="https://caosgear.com.au/products/nomad-shower-tent-awning-foldout-with-roof" TargetMode="External"/><Relationship Id="rId7" Type="http://schemas.openxmlformats.org/officeDocument/2006/relationships/hyperlink" Target="https://www.kickassproducts.com.au/buy/shower-base-for-awning/KASTENT-BASE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0"/>
    <col customWidth="1" min="3" max="3" width="13.75"/>
    <col customWidth="1" min="6" max="6" width="22.75"/>
    <col customWidth="1" min="7" max="7" width="16.0"/>
    <col customWidth="1" min="8" max="8" width="13.75"/>
    <col customWidth="1" min="11" max="11" width="20.75"/>
    <col customWidth="1" min="12" max="12" width="16.0"/>
    <col customWidth="1" min="13" max="13" width="13.75"/>
    <col customWidth="1" min="16" max="16" width="18.88"/>
    <col customWidth="1" min="17" max="17" width="16.0"/>
    <col customWidth="1" min="18" max="18" width="13.75"/>
    <col customWidth="1" min="21" max="21" width="18.88"/>
    <col customWidth="1" min="22" max="22" width="16.0"/>
    <col customWidth="1" min="23" max="23" width="13.75"/>
  </cols>
  <sheetData>
    <row r="1">
      <c r="A1" s="20"/>
      <c r="B1" s="20"/>
      <c r="C1" s="20"/>
      <c r="D1" s="20"/>
      <c r="E1" s="8"/>
      <c r="F1" s="20"/>
      <c r="G1" s="20"/>
      <c r="H1" s="20"/>
      <c r="I1" s="20"/>
      <c r="J1" s="8"/>
      <c r="K1" s="3"/>
      <c r="L1" s="3"/>
      <c r="M1" s="3"/>
      <c r="N1" s="3"/>
      <c r="O1" s="22"/>
      <c r="P1" s="20"/>
      <c r="Q1" s="20"/>
      <c r="R1" s="20"/>
      <c r="S1" s="20"/>
      <c r="T1" s="8"/>
      <c r="U1" s="20"/>
      <c r="V1" s="20"/>
      <c r="W1" s="20"/>
      <c r="X1" s="20"/>
      <c r="Y1" s="8"/>
      <c r="Z1" s="8"/>
    </row>
    <row r="2" ht="22.5" customHeight="1">
      <c r="A2" s="26" t="s">
        <v>39</v>
      </c>
      <c r="B2" s="26" t="s">
        <v>15</v>
      </c>
      <c r="C2" s="26" t="s">
        <v>16</v>
      </c>
      <c r="D2" s="26" t="s">
        <v>18</v>
      </c>
      <c r="E2" s="3"/>
      <c r="F2" s="26" t="s">
        <v>39</v>
      </c>
      <c r="G2" s="26" t="s">
        <v>15</v>
      </c>
      <c r="H2" s="26" t="s">
        <v>16</v>
      </c>
      <c r="I2" s="26" t="s">
        <v>18</v>
      </c>
      <c r="J2" s="33"/>
      <c r="K2" s="26" t="s">
        <v>39</v>
      </c>
      <c r="L2" s="26" t="s">
        <v>15</v>
      </c>
      <c r="M2" s="26" t="s">
        <v>16</v>
      </c>
      <c r="N2" s="26" t="s">
        <v>18</v>
      </c>
      <c r="O2" s="38"/>
      <c r="P2" s="26" t="s">
        <v>39</v>
      </c>
      <c r="Q2" s="26" t="s">
        <v>15</v>
      </c>
      <c r="R2" s="26" t="s">
        <v>16</v>
      </c>
      <c r="S2" s="26" t="s">
        <v>18</v>
      </c>
      <c r="T2" s="33"/>
      <c r="U2" s="26" t="s">
        <v>39</v>
      </c>
      <c r="V2" s="26" t="s">
        <v>15</v>
      </c>
      <c r="W2" s="26" t="s">
        <v>16</v>
      </c>
      <c r="X2" s="26" t="s">
        <v>18</v>
      </c>
      <c r="Y2" s="8"/>
      <c r="Z2" s="8"/>
    </row>
    <row r="3" ht="22.5" customHeight="1">
      <c r="A3" s="45" t="s">
        <v>67</v>
      </c>
      <c r="B3" s="46">
        <v>1000.0</v>
      </c>
      <c r="C3" s="50">
        <f>B3*26/12</f>
        <v>2166.666667</v>
      </c>
      <c r="D3" s="51">
        <f t="shared" ref="D3:D5" si="1">B3*26</f>
        <v>26000</v>
      </c>
      <c r="E3" s="52"/>
      <c r="F3" s="53" t="s">
        <v>77</v>
      </c>
      <c r="G3" s="46">
        <f>I3/26</f>
        <v>2943.230769</v>
      </c>
      <c r="H3" s="46">
        <f>6377</f>
        <v>6377</v>
      </c>
      <c r="I3" s="51">
        <f>H3*12</f>
        <v>76524</v>
      </c>
      <c r="J3" s="33"/>
      <c r="K3" s="54" t="s">
        <v>83</v>
      </c>
      <c r="L3" s="56">
        <f>N3/26</f>
        <v>106.4446154</v>
      </c>
      <c r="M3" s="57">
        <v>230.63</v>
      </c>
      <c r="N3" s="58">
        <f t="shared" ref="N3:N4" si="2">M3*12</f>
        <v>2767.56</v>
      </c>
      <c r="O3" s="33"/>
      <c r="P3" s="59" t="s">
        <v>90</v>
      </c>
      <c r="Q3" s="56">
        <f t="shared" ref="Q3:Q6" si="3">S3/26</f>
        <v>161.5384615</v>
      </c>
      <c r="R3" s="57">
        <v>350.0</v>
      </c>
      <c r="S3" s="58">
        <f t="shared" ref="S3:S6" si="4">R3*12</f>
        <v>4200</v>
      </c>
      <c r="T3" s="33"/>
      <c r="U3" s="60" t="s">
        <v>95</v>
      </c>
      <c r="V3" s="56">
        <f t="shared" ref="V3:V4" si="5">X3/26</f>
        <v>38.61538462</v>
      </c>
      <c r="W3" s="56">
        <f t="shared" ref="W3:W4" si="6">X3/12</f>
        <v>83.66666667</v>
      </c>
      <c r="X3" s="58">
        <f>1004</f>
        <v>1004</v>
      </c>
      <c r="Y3" s="8"/>
      <c r="Z3" s="8"/>
    </row>
    <row r="4" ht="22.5" customHeight="1">
      <c r="A4" s="64" t="s">
        <v>110</v>
      </c>
      <c r="B4" s="46">
        <v>100.0</v>
      </c>
      <c r="C4" s="50">
        <f t="shared" ref="C4:C5" si="7">D4/12</f>
        <v>216.6666667</v>
      </c>
      <c r="D4" s="51">
        <f t="shared" si="1"/>
        <v>2600</v>
      </c>
      <c r="E4" s="52"/>
      <c r="F4" s="65"/>
      <c r="G4" s="46"/>
      <c r="H4" s="46"/>
      <c r="I4" s="51"/>
      <c r="J4" s="33"/>
      <c r="K4" s="54" t="s">
        <v>117</v>
      </c>
      <c r="L4" s="56">
        <f t="shared" ref="L4:L5" si="8">M4*12/26</f>
        <v>32.30769231</v>
      </c>
      <c r="M4" s="57">
        <v>70.0</v>
      </c>
      <c r="N4" s="58">
        <f t="shared" si="2"/>
        <v>840</v>
      </c>
      <c r="O4" s="33"/>
      <c r="P4" s="59" t="s">
        <v>124</v>
      </c>
      <c r="Q4" s="56">
        <f t="shared" si="3"/>
        <v>25.38461538</v>
      </c>
      <c r="R4" s="57">
        <v>55.0</v>
      </c>
      <c r="S4" s="58">
        <f t="shared" si="4"/>
        <v>660</v>
      </c>
      <c r="T4" s="33"/>
      <c r="U4" s="71" t="s">
        <v>130</v>
      </c>
      <c r="V4" s="56">
        <f t="shared" si="5"/>
        <v>0</v>
      </c>
      <c r="W4" s="57">
        <f t="shared" si="6"/>
        <v>0</v>
      </c>
      <c r="X4" s="72">
        <v>0.0</v>
      </c>
      <c r="Y4" s="8"/>
      <c r="Z4" s="8"/>
    </row>
    <row r="5" ht="22.5" customHeight="1">
      <c r="A5" s="64" t="s">
        <v>138</v>
      </c>
      <c r="B5" s="46">
        <v>100.0</v>
      </c>
      <c r="C5" s="50">
        <f t="shared" si="7"/>
        <v>216.6666667</v>
      </c>
      <c r="D5" s="51">
        <f t="shared" si="1"/>
        <v>2600</v>
      </c>
      <c r="E5" s="52"/>
      <c r="F5" s="65"/>
      <c r="G5" s="46"/>
      <c r="H5" s="46"/>
      <c r="I5" s="51"/>
      <c r="J5" s="8"/>
      <c r="K5" s="54" t="s">
        <v>156</v>
      </c>
      <c r="L5" s="56">
        <f t="shared" si="8"/>
        <v>27.69230769</v>
      </c>
      <c r="M5" s="56">
        <f>20+20+20</f>
        <v>60</v>
      </c>
      <c r="N5" s="58">
        <f>L5*26</f>
        <v>720</v>
      </c>
      <c r="O5" s="33"/>
      <c r="P5" s="77" t="s">
        <v>166</v>
      </c>
      <c r="Q5" s="56">
        <f t="shared" si="3"/>
        <v>91.23076923</v>
      </c>
      <c r="R5" s="56">
        <f>593/3</f>
        <v>197.6666667</v>
      </c>
      <c r="S5" s="58">
        <f t="shared" si="4"/>
        <v>2372</v>
      </c>
      <c r="T5" s="33"/>
      <c r="U5" s="60"/>
      <c r="V5" s="56"/>
      <c r="W5" s="56"/>
      <c r="X5" s="58"/>
      <c r="Y5" s="8"/>
      <c r="Z5" s="8"/>
    </row>
    <row r="6" ht="22.5" customHeight="1">
      <c r="A6" s="64" t="s">
        <v>183</v>
      </c>
      <c r="B6" s="50">
        <f>D6/26</f>
        <v>61.53846154</v>
      </c>
      <c r="C6" s="50">
        <f>400 / 3</f>
        <v>133.3333333</v>
      </c>
      <c r="D6" s="51">
        <f>C6*12</f>
        <v>1600</v>
      </c>
      <c r="E6" s="52"/>
      <c r="F6" s="65"/>
      <c r="G6" s="50"/>
      <c r="H6" s="50"/>
      <c r="I6" s="51"/>
      <c r="J6" s="8"/>
      <c r="K6" s="54" t="s">
        <v>191</v>
      </c>
      <c r="L6" s="56">
        <v>2.5</v>
      </c>
      <c r="M6" s="56">
        <f>14.99</f>
        <v>14.99</v>
      </c>
      <c r="N6" s="58">
        <f t="shared" ref="N6:N8" si="9">M6*12</f>
        <v>179.88</v>
      </c>
      <c r="O6" s="33"/>
      <c r="P6" s="77" t="s">
        <v>197</v>
      </c>
      <c r="Q6" s="56">
        <f t="shared" si="3"/>
        <v>84.61538462</v>
      </c>
      <c r="R6" s="56">
        <f>550/3</f>
        <v>183.3333333</v>
      </c>
      <c r="S6" s="58">
        <f t="shared" si="4"/>
        <v>2200</v>
      </c>
      <c r="T6" s="33"/>
      <c r="U6" s="84"/>
      <c r="V6" s="56"/>
      <c r="W6" s="56"/>
      <c r="X6" s="58"/>
      <c r="Y6" s="8"/>
      <c r="Z6" s="8"/>
    </row>
    <row r="7" ht="22.5" customHeight="1">
      <c r="A7" s="64" t="s">
        <v>209</v>
      </c>
      <c r="B7" s="46">
        <v>150.0</v>
      </c>
      <c r="C7" s="50">
        <f t="shared" ref="C7:C9" si="10">D7/12</f>
        <v>325</v>
      </c>
      <c r="D7" s="51">
        <f t="shared" ref="D7:D9" si="11">B7*26</f>
        <v>3900</v>
      </c>
      <c r="E7" s="52"/>
      <c r="F7" s="65"/>
      <c r="G7" s="50"/>
      <c r="H7" s="50"/>
      <c r="I7" s="51"/>
      <c r="J7" s="33"/>
      <c r="K7" s="54" t="s">
        <v>217</v>
      </c>
      <c r="L7" s="56">
        <f t="shared" ref="L7:L8" si="12">M7*12/26</f>
        <v>22.61538462</v>
      </c>
      <c r="M7" s="56">
        <v>49.0</v>
      </c>
      <c r="N7" s="58">
        <f t="shared" si="9"/>
        <v>588</v>
      </c>
      <c r="O7" s="33"/>
      <c r="P7" s="86"/>
      <c r="Q7" s="56"/>
      <c r="R7" s="56"/>
      <c r="S7" s="58"/>
      <c r="T7" s="8"/>
      <c r="U7" s="84"/>
      <c r="V7" s="56"/>
      <c r="W7" s="56"/>
      <c r="X7" s="58"/>
      <c r="Y7" s="8"/>
      <c r="Z7" s="8"/>
    </row>
    <row r="8" ht="22.5" customHeight="1">
      <c r="A8" s="64" t="s">
        <v>222</v>
      </c>
      <c r="B8" s="46">
        <v>120.0</v>
      </c>
      <c r="C8" s="50">
        <f t="shared" si="10"/>
        <v>260</v>
      </c>
      <c r="D8" s="51">
        <f t="shared" si="11"/>
        <v>3120</v>
      </c>
      <c r="E8" s="52"/>
      <c r="F8" s="65"/>
      <c r="G8" s="50"/>
      <c r="H8" s="46"/>
      <c r="I8" s="51"/>
      <c r="J8" s="33"/>
      <c r="K8" s="91" t="s">
        <v>225</v>
      </c>
      <c r="L8" s="56">
        <f t="shared" si="12"/>
        <v>31.41230769</v>
      </c>
      <c r="M8" s="57">
        <v>68.06</v>
      </c>
      <c r="N8" s="58">
        <f t="shared" si="9"/>
        <v>816.72</v>
      </c>
      <c r="O8" s="33"/>
      <c r="P8" s="86"/>
      <c r="Q8" s="56"/>
      <c r="R8" s="56"/>
      <c r="S8" s="58"/>
      <c r="T8" s="33"/>
      <c r="U8" s="84"/>
      <c r="V8" s="56"/>
      <c r="W8" s="56"/>
      <c r="X8" s="58"/>
      <c r="Y8" s="8"/>
      <c r="Z8" s="8"/>
    </row>
    <row r="9" ht="22.5" customHeight="1">
      <c r="A9" s="64" t="s">
        <v>237</v>
      </c>
      <c r="B9" s="46">
        <v>100.0</v>
      </c>
      <c r="C9" s="50">
        <f t="shared" si="10"/>
        <v>216.6666667</v>
      </c>
      <c r="D9" s="51">
        <f t="shared" si="11"/>
        <v>2600</v>
      </c>
      <c r="E9" s="52"/>
      <c r="F9" s="65"/>
      <c r="G9" s="50"/>
      <c r="H9" s="46"/>
      <c r="I9" s="51"/>
      <c r="J9" s="33"/>
      <c r="K9" s="54" t="s">
        <v>242</v>
      </c>
      <c r="L9" s="56">
        <f>N9/26</f>
        <v>46.15384615</v>
      </c>
      <c r="M9" s="56">
        <f>N9/12</f>
        <v>100</v>
      </c>
      <c r="N9" s="58">
        <v>1200.0</v>
      </c>
      <c r="O9" s="93"/>
      <c r="P9" s="86"/>
      <c r="Q9" s="56"/>
      <c r="R9" s="56"/>
      <c r="S9" s="58"/>
      <c r="T9" s="8"/>
      <c r="U9" s="84"/>
      <c r="V9" s="56"/>
      <c r="W9" s="56"/>
      <c r="X9" s="58"/>
      <c r="Y9" s="8"/>
      <c r="Z9" s="8"/>
    </row>
    <row r="10" ht="22.5" customHeight="1">
      <c r="A10" s="64"/>
      <c r="B10" s="46"/>
      <c r="C10" s="50"/>
      <c r="D10" s="51"/>
      <c r="E10" s="52"/>
      <c r="F10" s="65"/>
      <c r="G10" s="50"/>
      <c r="H10" s="46"/>
      <c r="I10" s="51"/>
      <c r="J10" s="33"/>
      <c r="K10" s="91" t="s">
        <v>254</v>
      </c>
      <c r="L10" s="56"/>
      <c r="M10" s="56"/>
      <c r="N10" s="72"/>
      <c r="O10" s="93"/>
      <c r="P10" s="86"/>
      <c r="Q10" s="56"/>
      <c r="R10" s="56"/>
      <c r="S10" s="58"/>
      <c r="T10" s="8"/>
      <c r="U10" s="84"/>
      <c r="V10" s="56"/>
      <c r="W10" s="56"/>
      <c r="X10" s="58"/>
      <c r="Y10" s="8"/>
      <c r="Z10" s="8"/>
    </row>
    <row r="11" ht="22.5" customHeight="1">
      <c r="A11" s="64"/>
      <c r="B11" s="46"/>
      <c r="C11" s="50"/>
      <c r="D11" s="51"/>
      <c r="E11" s="52"/>
      <c r="F11" s="94"/>
      <c r="G11" s="50"/>
      <c r="H11" s="50"/>
      <c r="I11" s="51"/>
      <c r="J11" s="33"/>
      <c r="K11" s="54" t="s">
        <v>177</v>
      </c>
      <c r="L11" s="56">
        <f t="shared" ref="L11:L13" si="13">N11/26</f>
        <v>9.687692308</v>
      </c>
      <c r="M11" s="57">
        <v>20.99</v>
      </c>
      <c r="N11" s="58">
        <f t="shared" ref="N11:N13" si="14">M11*12</f>
        <v>251.88</v>
      </c>
      <c r="O11" s="33"/>
      <c r="P11" s="86"/>
      <c r="Q11" s="56"/>
      <c r="R11" s="56"/>
      <c r="S11" s="58"/>
      <c r="T11" s="33"/>
      <c r="U11" s="84"/>
      <c r="V11" s="56"/>
      <c r="W11" s="56"/>
      <c r="X11" s="58"/>
      <c r="Y11" s="8"/>
      <c r="Z11" s="8"/>
    </row>
    <row r="12" ht="22.5" customHeight="1">
      <c r="A12" s="64"/>
      <c r="B12" s="46"/>
      <c r="C12" s="50"/>
      <c r="D12" s="51"/>
      <c r="E12" s="52"/>
      <c r="F12" s="94"/>
      <c r="G12" s="50"/>
      <c r="H12" s="50"/>
      <c r="I12" s="51"/>
      <c r="J12" s="33"/>
      <c r="K12" s="54" t="s">
        <v>172</v>
      </c>
      <c r="L12" s="56">
        <f t="shared" si="13"/>
        <v>9.687692308</v>
      </c>
      <c r="M12" s="57">
        <v>20.99</v>
      </c>
      <c r="N12" s="58">
        <f t="shared" si="14"/>
        <v>251.88</v>
      </c>
      <c r="O12" s="33"/>
      <c r="P12" s="86"/>
      <c r="Q12" s="56"/>
      <c r="R12" s="56"/>
      <c r="S12" s="58"/>
      <c r="T12" s="33"/>
      <c r="U12" s="84"/>
      <c r="V12" s="56"/>
      <c r="W12" s="56"/>
      <c r="X12" s="58"/>
      <c r="Y12" s="8"/>
      <c r="Z12" s="8"/>
    </row>
    <row r="13" ht="22.5" customHeight="1">
      <c r="A13" s="64"/>
      <c r="B13" s="50"/>
      <c r="C13" s="50"/>
      <c r="D13" s="51"/>
      <c r="E13" s="52"/>
      <c r="F13" s="94"/>
      <c r="G13" s="50"/>
      <c r="H13" s="50"/>
      <c r="I13" s="51"/>
      <c r="J13" s="33"/>
      <c r="K13" s="54" t="s">
        <v>113</v>
      </c>
      <c r="L13" s="56">
        <f t="shared" si="13"/>
        <v>7.38</v>
      </c>
      <c r="M13" s="57">
        <v>15.99</v>
      </c>
      <c r="N13" s="58">
        <f t="shared" si="14"/>
        <v>191.88</v>
      </c>
      <c r="O13" s="33"/>
      <c r="P13" s="86"/>
      <c r="Q13" s="56"/>
      <c r="R13" s="56"/>
      <c r="S13" s="58"/>
      <c r="T13" s="33"/>
      <c r="U13" s="84"/>
      <c r="V13" s="56"/>
      <c r="W13" s="56"/>
      <c r="X13" s="58"/>
      <c r="Y13" s="8"/>
      <c r="Z13" s="8"/>
    </row>
    <row r="14" ht="22.5" customHeight="1">
      <c r="A14" s="64"/>
      <c r="B14" s="50"/>
      <c r="C14" s="50"/>
      <c r="D14" s="51"/>
      <c r="E14" s="52"/>
      <c r="F14" s="94"/>
      <c r="G14" s="50"/>
      <c r="H14" s="50"/>
      <c r="I14" s="51"/>
      <c r="J14" s="33"/>
      <c r="K14" s="54" t="s">
        <v>272</v>
      </c>
      <c r="L14" s="56"/>
      <c r="M14" s="57"/>
      <c r="N14" s="58"/>
      <c r="O14" s="33"/>
      <c r="P14" s="86"/>
      <c r="Q14" s="56"/>
      <c r="R14" s="56"/>
      <c r="S14" s="58"/>
      <c r="T14" s="33"/>
      <c r="U14" s="84"/>
      <c r="V14" s="56"/>
      <c r="W14" s="56"/>
      <c r="X14" s="58"/>
      <c r="Y14" s="8"/>
      <c r="Z14" s="8"/>
    </row>
    <row r="15" ht="22.5" customHeight="1">
      <c r="A15" s="97"/>
      <c r="B15" s="50"/>
      <c r="C15" s="50"/>
      <c r="D15" s="51"/>
      <c r="E15" s="52"/>
      <c r="F15" s="94"/>
      <c r="G15" s="50"/>
      <c r="H15" s="50"/>
      <c r="I15" s="51"/>
      <c r="J15" s="33"/>
      <c r="K15" s="54" t="s">
        <v>275</v>
      </c>
      <c r="L15" s="56">
        <f>M15*12/26</f>
        <v>4.418461538</v>
      </c>
      <c r="M15" s="57">
        <f>N15/12+2.99</f>
        <v>9.573333333</v>
      </c>
      <c r="N15" s="58">
        <f>79</f>
        <v>79</v>
      </c>
      <c r="O15" s="33"/>
      <c r="P15" s="86"/>
      <c r="Q15" s="56"/>
      <c r="R15" s="56"/>
      <c r="S15" s="58"/>
      <c r="T15" s="33"/>
      <c r="U15" s="84"/>
      <c r="V15" s="56"/>
      <c r="W15" s="56"/>
      <c r="X15" s="58"/>
      <c r="Y15" s="8"/>
      <c r="Z15" s="8"/>
    </row>
    <row r="16" ht="22.5" customHeight="1">
      <c r="A16" s="97"/>
      <c r="B16" s="50"/>
      <c r="C16" s="50"/>
      <c r="D16" s="51"/>
      <c r="E16" s="52"/>
      <c r="F16" s="94"/>
      <c r="G16" s="50"/>
      <c r="H16" s="50"/>
      <c r="I16" s="51"/>
      <c r="J16" s="33"/>
      <c r="K16" s="91" t="s">
        <v>109</v>
      </c>
      <c r="L16" s="56">
        <f t="shared" ref="L16:L17" si="15">N16/26</f>
        <v>5.995384615</v>
      </c>
      <c r="M16" s="57">
        <v>12.99</v>
      </c>
      <c r="N16" s="58">
        <f t="shared" ref="N16:N18" si="16">M16*12</f>
        <v>155.88</v>
      </c>
      <c r="O16" s="33"/>
      <c r="P16" s="86"/>
      <c r="Q16" s="56"/>
      <c r="R16" s="56"/>
      <c r="S16" s="58"/>
      <c r="T16" s="8"/>
      <c r="U16" s="84"/>
      <c r="V16" s="56"/>
      <c r="W16" s="56"/>
      <c r="X16" s="58"/>
      <c r="Y16" s="8"/>
      <c r="Z16" s="8"/>
    </row>
    <row r="17" ht="22.5" customHeight="1">
      <c r="A17" s="97"/>
      <c r="B17" s="50"/>
      <c r="C17" s="50"/>
      <c r="D17" s="51"/>
      <c r="E17" s="52"/>
      <c r="F17" s="94"/>
      <c r="G17" s="50"/>
      <c r="H17" s="50"/>
      <c r="I17" s="51"/>
      <c r="J17" s="33"/>
      <c r="K17" s="91" t="s">
        <v>286</v>
      </c>
      <c r="L17" s="56">
        <f t="shared" si="15"/>
        <v>4.149230769</v>
      </c>
      <c r="M17" s="57">
        <v>8.99</v>
      </c>
      <c r="N17" s="58">
        <f t="shared" si="16"/>
        <v>107.88</v>
      </c>
      <c r="O17" s="33"/>
      <c r="P17" s="86"/>
      <c r="Q17" s="56"/>
      <c r="R17" s="56"/>
      <c r="S17" s="58"/>
      <c r="T17" s="33"/>
      <c r="U17" s="84"/>
      <c r="V17" s="56"/>
      <c r="W17" s="56"/>
      <c r="X17" s="58"/>
      <c r="Y17" s="8"/>
      <c r="Z17" s="8"/>
    </row>
    <row r="18" ht="22.5" customHeight="1">
      <c r="A18" s="97"/>
      <c r="B18" s="50"/>
      <c r="C18" s="50"/>
      <c r="D18" s="51"/>
      <c r="E18" s="52"/>
      <c r="F18" s="94"/>
      <c r="G18" s="50"/>
      <c r="H18" s="50"/>
      <c r="I18" s="51"/>
      <c r="J18" s="33"/>
      <c r="K18" s="91" t="s">
        <v>290</v>
      </c>
      <c r="L18" s="56">
        <f>M18*12/26</f>
        <v>87.88153846</v>
      </c>
      <c r="M18" s="57">
        <v>190.41</v>
      </c>
      <c r="N18" s="58">
        <f t="shared" si="16"/>
        <v>2284.92</v>
      </c>
      <c r="O18" s="33"/>
      <c r="P18" s="86"/>
      <c r="Q18" s="56"/>
      <c r="R18" s="56"/>
      <c r="S18" s="58"/>
      <c r="T18" s="33"/>
      <c r="U18" s="84"/>
      <c r="V18" s="56"/>
      <c r="W18" s="56"/>
      <c r="X18" s="58"/>
      <c r="Y18" s="8"/>
      <c r="Z18" s="8"/>
    </row>
    <row r="19" ht="22.5" customHeight="1">
      <c r="A19" s="97"/>
      <c r="B19" s="50"/>
      <c r="C19" s="98"/>
      <c r="D19" s="51"/>
      <c r="E19" s="52"/>
      <c r="F19" s="94"/>
      <c r="G19" s="50"/>
      <c r="H19" s="50"/>
      <c r="I19" s="51"/>
      <c r="J19" s="33"/>
      <c r="K19" s="91" t="s">
        <v>298</v>
      </c>
      <c r="L19" s="56">
        <f>163.9 * 10 * 0.5006</f>
        <v>820.4834</v>
      </c>
      <c r="M19" s="57">
        <f t="shared" ref="M19:M20" si="17">N19/12</f>
        <v>1777.714033</v>
      </c>
      <c r="N19" s="58">
        <f t="shared" ref="N19:N20" si="18">L19*26</f>
        <v>21332.5684</v>
      </c>
      <c r="O19" s="38"/>
      <c r="P19" s="86"/>
      <c r="Q19" s="56"/>
      <c r="R19" s="56"/>
      <c r="S19" s="58"/>
      <c r="T19" s="33"/>
      <c r="U19" s="84"/>
      <c r="V19" s="56"/>
      <c r="W19" s="56"/>
      <c r="X19" s="58"/>
      <c r="Y19" s="8"/>
      <c r="Z19" s="8"/>
    </row>
    <row r="20" ht="22.5" customHeight="1">
      <c r="A20" s="97"/>
      <c r="B20" s="50"/>
      <c r="C20" s="50"/>
      <c r="D20" s="51"/>
      <c r="E20" s="52"/>
      <c r="F20" s="94"/>
      <c r="G20" s="50"/>
      <c r="H20" s="50"/>
      <c r="I20" s="51"/>
      <c r="J20" s="33"/>
      <c r="K20" s="91" t="s">
        <v>303</v>
      </c>
      <c r="L20" s="57">
        <f>35.88 * 10 * 0.5006</f>
        <v>179.61528</v>
      </c>
      <c r="M20" s="57">
        <f t="shared" si="17"/>
        <v>389.16644</v>
      </c>
      <c r="N20" s="58">
        <f t="shared" si="18"/>
        <v>4669.99728</v>
      </c>
      <c r="O20" s="33"/>
      <c r="P20" s="86"/>
      <c r="Q20" s="56"/>
      <c r="R20" s="56"/>
      <c r="S20" s="58"/>
      <c r="T20" s="33"/>
      <c r="U20" s="84"/>
      <c r="V20" s="56"/>
      <c r="W20" s="56"/>
      <c r="X20" s="58"/>
      <c r="Y20" s="8"/>
      <c r="Z20" s="8"/>
    </row>
    <row r="21" ht="22.5" customHeight="1">
      <c r="A21" s="97"/>
      <c r="B21" s="50"/>
      <c r="C21" s="98"/>
      <c r="D21" s="51"/>
      <c r="E21" s="52"/>
      <c r="F21" s="94"/>
      <c r="G21" s="50"/>
      <c r="H21" s="50"/>
      <c r="I21" s="51"/>
      <c r="J21" s="33"/>
      <c r="K21" s="91" t="s">
        <v>306</v>
      </c>
      <c r="L21" s="56">
        <f t="shared" ref="L21:L24" si="19">N21/26</f>
        <v>4.610769231</v>
      </c>
      <c r="M21" s="57">
        <v>9.99</v>
      </c>
      <c r="N21" s="58">
        <f t="shared" ref="N21:N24" si="20">M21*12</f>
        <v>119.88</v>
      </c>
      <c r="O21" s="33"/>
      <c r="P21" s="86"/>
      <c r="Q21" s="56"/>
      <c r="R21" s="56"/>
      <c r="S21" s="58"/>
      <c r="T21" s="33"/>
      <c r="U21" s="84"/>
      <c r="V21" s="56"/>
      <c r="W21" s="56"/>
      <c r="X21" s="58"/>
      <c r="Y21" s="8"/>
      <c r="Z21" s="8"/>
    </row>
    <row r="22" ht="22.5" customHeight="1">
      <c r="A22" s="97"/>
      <c r="B22" s="50"/>
      <c r="C22" s="50"/>
      <c r="D22" s="51"/>
      <c r="E22" s="52"/>
      <c r="F22" s="94"/>
      <c r="G22" s="50"/>
      <c r="H22" s="50"/>
      <c r="I22" s="51"/>
      <c r="J22" s="33"/>
      <c r="K22" s="54" t="s">
        <v>313</v>
      </c>
      <c r="L22" s="56">
        <f t="shared" si="19"/>
        <v>34.61538462</v>
      </c>
      <c r="M22" s="57">
        <v>75.0</v>
      </c>
      <c r="N22" s="58">
        <f t="shared" si="20"/>
        <v>900</v>
      </c>
      <c r="O22" s="33"/>
      <c r="P22" s="86"/>
      <c r="Q22" s="56"/>
      <c r="R22" s="56"/>
      <c r="S22" s="58"/>
      <c r="T22" s="33"/>
      <c r="U22" s="84"/>
      <c r="V22" s="56"/>
      <c r="W22" s="56"/>
      <c r="X22" s="58"/>
      <c r="Y22" s="8"/>
      <c r="Z22" s="8"/>
    </row>
    <row r="23" ht="22.5" customHeight="1">
      <c r="A23" s="97"/>
      <c r="B23" s="50"/>
      <c r="C23" s="50"/>
      <c r="D23" s="51"/>
      <c r="E23" s="52"/>
      <c r="F23" s="94"/>
      <c r="G23" s="50"/>
      <c r="H23" s="50"/>
      <c r="I23" s="51"/>
      <c r="J23" s="33"/>
      <c r="K23" s="91" t="s">
        <v>319</v>
      </c>
      <c r="L23" s="56">
        <f t="shared" si="19"/>
        <v>1.38</v>
      </c>
      <c r="M23" s="57">
        <v>2.99</v>
      </c>
      <c r="N23" s="58">
        <f t="shared" si="20"/>
        <v>35.88</v>
      </c>
      <c r="O23" s="33"/>
      <c r="P23" s="86"/>
      <c r="Q23" s="56"/>
      <c r="R23" s="56"/>
      <c r="S23" s="58"/>
      <c r="T23" s="33"/>
      <c r="U23" s="84"/>
      <c r="V23" s="56"/>
      <c r="W23" s="56"/>
      <c r="X23" s="58"/>
      <c r="Y23" s="8"/>
      <c r="Z23" s="8"/>
    </row>
    <row r="24" ht="22.5" customHeight="1">
      <c r="A24" s="97"/>
      <c r="B24" s="50"/>
      <c r="C24" s="50"/>
      <c r="D24" s="51"/>
      <c r="E24" s="52"/>
      <c r="F24" s="94"/>
      <c r="G24" s="50"/>
      <c r="H24" s="50"/>
      <c r="I24" s="51"/>
      <c r="J24" s="33"/>
      <c r="K24" s="91" t="s">
        <v>325</v>
      </c>
      <c r="L24" s="57">
        <f t="shared" si="19"/>
        <v>115.3846154</v>
      </c>
      <c r="M24" s="57">
        <v>250.0</v>
      </c>
      <c r="N24" s="58">
        <f t="shared" si="20"/>
        <v>3000</v>
      </c>
      <c r="O24" s="33"/>
      <c r="P24" s="86"/>
      <c r="Q24" s="56"/>
      <c r="R24" s="56"/>
      <c r="S24" s="58"/>
      <c r="T24" s="33"/>
      <c r="U24" s="84"/>
      <c r="V24" s="56"/>
      <c r="W24" s="56"/>
      <c r="X24" s="58"/>
      <c r="Y24" s="8"/>
      <c r="Z24" s="8"/>
    </row>
    <row r="25" ht="22.5" customHeight="1">
      <c r="A25" s="97"/>
      <c r="B25" s="50"/>
      <c r="C25" s="50"/>
      <c r="D25" s="51"/>
      <c r="E25" s="52"/>
      <c r="F25" s="94"/>
      <c r="G25" s="50"/>
      <c r="H25" s="50"/>
      <c r="I25" s="51"/>
      <c r="J25" s="33"/>
      <c r="K25" s="91" t="s">
        <v>332</v>
      </c>
      <c r="L25" s="56">
        <f>102.6/6*2</f>
        <v>34.2</v>
      </c>
      <c r="M25" s="56">
        <f t="shared" ref="M25:M26" si="21">N25/12</f>
        <v>74.1</v>
      </c>
      <c r="N25" s="58">
        <f t="shared" ref="N25:N26" si="22">L25*26</f>
        <v>889.2</v>
      </c>
      <c r="O25" s="33"/>
      <c r="P25" s="86"/>
      <c r="Q25" s="56"/>
      <c r="R25" s="56"/>
      <c r="S25" s="58"/>
      <c r="T25" s="33"/>
      <c r="U25" s="84"/>
      <c r="V25" s="56"/>
      <c r="W25" s="56"/>
      <c r="X25" s="58"/>
      <c r="Y25" s="8"/>
      <c r="Z25" s="8"/>
    </row>
    <row r="26" ht="22.5" customHeight="1">
      <c r="A26" s="99"/>
      <c r="B26" s="50"/>
      <c r="C26" s="50"/>
      <c r="D26" s="51"/>
      <c r="E26" s="52"/>
      <c r="F26" s="94"/>
      <c r="G26" s="50"/>
      <c r="H26" s="50"/>
      <c r="I26" s="51"/>
      <c r="J26" s="33"/>
      <c r="K26" s="54" t="s">
        <v>335</v>
      </c>
      <c r="L26" s="56">
        <f>360 / 6 * 2</f>
        <v>120</v>
      </c>
      <c r="M26" s="56">
        <f t="shared" si="21"/>
        <v>260</v>
      </c>
      <c r="N26" s="58">
        <f t="shared" si="22"/>
        <v>3120</v>
      </c>
      <c r="O26" s="33"/>
      <c r="P26" s="86"/>
      <c r="Q26" s="56"/>
      <c r="R26" s="56"/>
      <c r="S26" s="58"/>
      <c r="T26" s="33"/>
      <c r="U26" s="84"/>
      <c r="V26" s="56"/>
      <c r="W26" s="56"/>
      <c r="X26" s="58"/>
      <c r="Y26" s="8"/>
      <c r="Z26" s="8"/>
    </row>
    <row r="27" ht="22.5" customHeight="1">
      <c r="A27" s="97"/>
      <c r="B27" s="50"/>
      <c r="C27" s="98"/>
      <c r="D27" s="51"/>
      <c r="E27" s="52"/>
      <c r="F27" s="100"/>
      <c r="G27" s="50"/>
      <c r="H27" s="50"/>
      <c r="I27" s="51"/>
      <c r="J27" s="33"/>
      <c r="K27" s="91" t="s">
        <v>342</v>
      </c>
      <c r="L27" s="56">
        <f t="shared" ref="L27:L30" si="23">N27/26</f>
        <v>10.61076923</v>
      </c>
      <c r="M27" s="57">
        <v>22.99</v>
      </c>
      <c r="N27" s="58">
        <f t="shared" ref="N27:N30" si="24">M27*12</f>
        <v>275.88</v>
      </c>
      <c r="O27" s="33"/>
      <c r="P27" s="86"/>
      <c r="Q27" s="56"/>
      <c r="R27" s="56"/>
      <c r="S27" s="58"/>
      <c r="T27" s="33"/>
      <c r="U27" s="101"/>
      <c r="V27" s="56"/>
      <c r="W27" s="56"/>
      <c r="X27" s="58"/>
      <c r="Y27" s="8"/>
      <c r="Z27" s="8"/>
    </row>
    <row r="28" ht="22.5" customHeight="1">
      <c r="A28" s="97"/>
      <c r="B28" s="50"/>
      <c r="C28" s="50"/>
      <c r="D28" s="51"/>
      <c r="E28" s="52"/>
      <c r="F28" s="94"/>
      <c r="G28" s="50"/>
      <c r="H28" s="50"/>
      <c r="I28" s="51"/>
      <c r="J28" s="33"/>
      <c r="K28" s="91" t="s">
        <v>345</v>
      </c>
      <c r="L28" s="56">
        <f t="shared" si="23"/>
        <v>5.150769231</v>
      </c>
      <c r="M28" s="57">
        <v>11.16</v>
      </c>
      <c r="N28" s="58">
        <f t="shared" si="24"/>
        <v>133.92</v>
      </c>
      <c r="O28" s="33"/>
      <c r="P28" s="86"/>
      <c r="Q28" s="56"/>
      <c r="R28" s="56"/>
      <c r="S28" s="58"/>
      <c r="T28" s="33"/>
      <c r="U28" s="84"/>
      <c r="V28" s="56"/>
      <c r="W28" s="56"/>
      <c r="X28" s="58"/>
      <c r="Y28" s="8"/>
      <c r="Z28" s="8"/>
    </row>
    <row r="29" ht="22.5" customHeight="1">
      <c r="A29" s="99"/>
      <c r="B29" s="50"/>
      <c r="C29" s="50"/>
      <c r="D29" s="51"/>
      <c r="E29" s="52"/>
      <c r="F29" s="94"/>
      <c r="G29" s="50"/>
      <c r="H29" s="50"/>
      <c r="I29" s="51"/>
      <c r="J29" s="33"/>
      <c r="K29" s="91" t="s">
        <v>350</v>
      </c>
      <c r="L29" s="56">
        <f t="shared" si="23"/>
        <v>7.38</v>
      </c>
      <c r="M29" s="57">
        <v>15.99</v>
      </c>
      <c r="N29" s="58">
        <f t="shared" si="24"/>
        <v>191.88</v>
      </c>
      <c r="O29" s="33"/>
      <c r="P29" s="86"/>
      <c r="Q29" s="56"/>
      <c r="R29" s="56"/>
      <c r="S29" s="58"/>
      <c r="T29" s="33"/>
      <c r="U29" s="84"/>
      <c r="V29" s="56"/>
      <c r="W29" s="56"/>
      <c r="X29" s="58"/>
      <c r="Y29" s="8"/>
      <c r="Z29" s="8"/>
    </row>
    <row r="30" ht="22.5" customHeight="1">
      <c r="A30" s="97"/>
      <c r="B30" s="50"/>
      <c r="C30" s="50"/>
      <c r="D30" s="51"/>
      <c r="E30" s="52"/>
      <c r="F30" s="100"/>
      <c r="G30" s="50"/>
      <c r="H30" s="50"/>
      <c r="I30" s="51"/>
      <c r="J30" s="33"/>
      <c r="K30" s="91"/>
      <c r="L30" s="56">
        <f t="shared" si="23"/>
        <v>0</v>
      </c>
      <c r="M30" s="57">
        <v>0.0</v>
      </c>
      <c r="N30" s="58">
        <f t="shared" si="24"/>
        <v>0</v>
      </c>
      <c r="O30" s="33"/>
      <c r="P30" s="86"/>
      <c r="Q30" s="56"/>
      <c r="R30" s="56"/>
      <c r="S30" s="58"/>
      <c r="T30" s="33"/>
      <c r="U30" s="84"/>
      <c r="V30" s="56"/>
      <c r="W30" s="56"/>
      <c r="X30" s="58"/>
      <c r="Y30" s="8"/>
      <c r="Z30" s="8"/>
    </row>
    <row r="31" ht="22.5" customHeight="1">
      <c r="A31" s="97"/>
      <c r="B31" s="50"/>
      <c r="C31" s="50"/>
      <c r="D31" s="51"/>
      <c r="E31" s="52"/>
      <c r="F31" s="94"/>
      <c r="G31" s="50"/>
      <c r="H31" s="50"/>
      <c r="I31" s="51"/>
      <c r="J31" s="33"/>
      <c r="K31" s="91"/>
      <c r="L31" s="56"/>
      <c r="M31" s="56"/>
      <c r="N31" s="58"/>
      <c r="O31" s="33"/>
      <c r="P31" s="86"/>
      <c r="Q31" s="56"/>
      <c r="R31" s="56"/>
      <c r="S31" s="58"/>
      <c r="T31" s="33"/>
      <c r="U31" s="84"/>
      <c r="V31" s="56"/>
      <c r="W31" s="56"/>
      <c r="X31" s="58"/>
      <c r="Y31" s="8"/>
      <c r="Z31" s="8"/>
    </row>
    <row r="32" ht="22.5" customHeight="1">
      <c r="A32" s="97"/>
      <c r="B32" s="50"/>
      <c r="C32" s="50"/>
      <c r="D32" s="51"/>
      <c r="E32" s="52"/>
      <c r="F32" s="102"/>
      <c r="G32" s="50"/>
      <c r="H32" s="50"/>
      <c r="I32" s="51"/>
      <c r="J32" s="33"/>
      <c r="K32" s="103"/>
      <c r="L32" s="56"/>
      <c r="M32" s="56"/>
      <c r="N32" s="58"/>
      <c r="O32" s="33"/>
      <c r="P32" s="86"/>
      <c r="Q32" s="56"/>
      <c r="R32" s="56"/>
      <c r="S32" s="58"/>
      <c r="T32" s="33"/>
      <c r="U32" s="84"/>
      <c r="V32" s="56"/>
      <c r="W32" s="56"/>
      <c r="X32" s="58"/>
      <c r="Y32" s="8"/>
      <c r="Z32" s="8"/>
    </row>
    <row r="33" ht="22.5" customHeight="1">
      <c r="A33" s="104"/>
      <c r="B33" s="105"/>
      <c r="C33" s="105"/>
      <c r="D33" s="105"/>
      <c r="E33" s="52"/>
      <c r="F33" s="106"/>
      <c r="G33" s="105"/>
      <c r="H33" s="105"/>
      <c r="I33" s="107"/>
      <c r="J33" s="33"/>
      <c r="K33" s="108"/>
      <c r="L33" s="109"/>
      <c r="M33" s="109"/>
      <c r="N33" s="110"/>
      <c r="O33" s="33"/>
      <c r="P33" s="111"/>
      <c r="Q33" s="109"/>
      <c r="R33" s="109"/>
      <c r="S33" s="110"/>
      <c r="T33" s="33"/>
      <c r="U33" s="112"/>
      <c r="V33" s="109"/>
      <c r="W33" s="109"/>
      <c r="X33" s="110"/>
      <c r="Y33" s="8"/>
      <c r="Z33" s="8"/>
    </row>
    <row r="34">
      <c r="A34" s="8"/>
      <c r="B34" s="113"/>
      <c r="C34" s="113"/>
      <c r="D34" s="113"/>
      <c r="E34" s="8"/>
      <c r="F34" s="8"/>
      <c r="G34" s="113"/>
      <c r="H34" s="113"/>
      <c r="I34" s="113"/>
      <c r="J34" s="8"/>
      <c r="K34" s="8"/>
      <c r="L34" s="113"/>
      <c r="M34" s="113"/>
      <c r="N34" s="113"/>
      <c r="O34" s="8"/>
      <c r="P34" s="63"/>
      <c r="Q34" s="113"/>
      <c r="R34" s="113"/>
      <c r="S34" s="113"/>
      <c r="T34" s="8"/>
      <c r="U34" s="22"/>
      <c r="V34" s="113"/>
      <c r="W34" s="113"/>
      <c r="X34" s="113"/>
      <c r="Y34" s="8"/>
      <c r="Z34" s="8"/>
    </row>
    <row r="35">
      <c r="A35" s="114" t="s">
        <v>374</v>
      </c>
      <c r="B35" s="115">
        <f t="shared" ref="B35:D35" si="25">SUM(B3:B33)</f>
        <v>1631.538462</v>
      </c>
      <c r="C35" s="115">
        <f t="shared" si="25"/>
        <v>3535</v>
      </c>
      <c r="D35" s="115">
        <f t="shared" si="25"/>
        <v>42420</v>
      </c>
      <c r="E35" s="8"/>
      <c r="F35" s="116" t="s">
        <v>374</v>
      </c>
      <c r="G35" s="117">
        <f t="shared" ref="G35:I35" si="26">SUM(G3:G33)</f>
        <v>2943.230769</v>
      </c>
      <c r="H35" s="117">
        <f t="shared" si="26"/>
        <v>6377</v>
      </c>
      <c r="I35" s="117">
        <f t="shared" si="26"/>
        <v>76524</v>
      </c>
      <c r="J35" s="8"/>
      <c r="K35" s="118" t="s">
        <v>374</v>
      </c>
      <c r="L35" s="119">
        <f t="shared" ref="L35:N35" si="27">SUM(L3:L33)</f>
        <v>1731.757142</v>
      </c>
      <c r="M35" s="119">
        <f t="shared" si="27"/>
        <v>3761.713807</v>
      </c>
      <c r="N35" s="119">
        <f t="shared" si="27"/>
        <v>45104.68568</v>
      </c>
      <c r="O35" s="8"/>
      <c r="P35" s="120" t="s">
        <v>374</v>
      </c>
      <c r="Q35" s="121">
        <f t="shared" ref="Q35:S35" si="28">SUM(Q3:Q33)</f>
        <v>362.7692308</v>
      </c>
      <c r="R35" s="121">
        <f t="shared" si="28"/>
        <v>786</v>
      </c>
      <c r="S35" s="121">
        <f t="shared" si="28"/>
        <v>9432</v>
      </c>
      <c r="T35" s="8"/>
      <c r="U35" s="122" t="s">
        <v>374</v>
      </c>
      <c r="V35" s="123">
        <f t="shared" ref="V35:X35" si="29">SUM(V3:V33)</f>
        <v>38.61538462</v>
      </c>
      <c r="W35" s="123">
        <f t="shared" si="29"/>
        <v>83.66666667</v>
      </c>
      <c r="X35" s="123">
        <f t="shared" si="29"/>
        <v>1004</v>
      </c>
      <c r="Y35" s="8"/>
      <c r="Z35" s="8"/>
    </row>
    <row r="36">
      <c r="A36" s="8"/>
      <c r="B36" s="113"/>
      <c r="C36" s="113"/>
      <c r="D36" s="113"/>
      <c r="E36" s="8"/>
      <c r="F36" s="63"/>
      <c r="G36" s="113"/>
      <c r="H36" s="113"/>
      <c r="I36" s="113"/>
      <c r="J36" s="8"/>
      <c r="K36" s="8"/>
      <c r="L36" s="113"/>
      <c r="M36" s="8"/>
      <c r="N36" s="8"/>
      <c r="O36" s="8"/>
      <c r="P36" s="8"/>
      <c r="Q36" s="113"/>
      <c r="R36" s="8"/>
      <c r="S36" s="8"/>
      <c r="T36" s="8"/>
      <c r="U36" s="8"/>
      <c r="V36" s="8"/>
      <c r="W36" s="8"/>
      <c r="X36" s="8"/>
      <c r="Y36" s="8"/>
      <c r="Z36" s="8"/>
    </row>
    <row r="37">
      <c r="A37" s="22"/>
      <c r="B37" s="113"/>
      <c r="C37" s="113"/>
      <c r="D37" s="113"/>
      <c r="E37" s="8"/>
      <c r="F37" s="63"/>
      <c r="G37" s="113"/>
      <c r="H37" s="113"/>
      <c r="I37" s="113"/>
      <c r="J37" s="8"/>
      <c r="K37" s="22"/>
      <c r="L37" s="113"/>
      <c r="M37" s="8"/>
      <c r="N37" s="8"/>
      <c r="O37" s="8"/>
      <c r="P37" s="22"/>
      <c r="Q37" s="113"/>
      <c r="R37" s="8"/>
      <c r="S37" s="8"/>
      <c r="T37" s="8"/>
      <c r="U37" s="8"/>
      <c r="V37" s="8"/>
      <c r="W37" s="8"/>
      <c r="X37" s="8"/>
      <c r="Y37" s="8"/>
      <c r="Z37" s="8"/>
    </row>
    <row r="38">
      <c r="A38" s="1" t="s">
        <v>379</v>
      </c>
      <c r="B38" s="73">
        <f>B35+G35+L35+Q35+V35</f>
        <v>6707.910988</v>
      </c>
      <c r="C38" s="73">
        <f t="shared" ref="C38:D38" si="30">W35+R35+M35+C35+H35</f>
        <v>14543.38047</v>
      </c>
      <c r="D38" s="73">
        <f t="shared" si="30"/>
        <v>174484.6857</v>
      </c>
      <c r="E38" s="8"/>
      <c r="F38" s="124"/>
      <c r="G38" s="73"/>
      <c r="H38" s="73"/>
      <c r="I38" s="73"/>
      <c r="J38" s="8"/>
      <c r="K38" s="20"/>
      <c r="L38" s="80"/>
      <c r="M38" s="8"/>
      <c r="N38" s="22"/>
      <c r="O38" s="22"/>
      <c r="P38" s="20"/>
      <c r="Q38" s="73"/>
      <c r="R38" s="73"/>
      <c r="S38" s="73"/>
      <c r="T38" s="8"/>
      <c r="U38" s="8"/>
      <c r="V38" s="8"/>
      <c r="W38" s="8"/>
      <c r="X38" s="8"/>
      <c r="Y38" s="8"/>
      <c r="Z38" s="8"/>
    </row>
    <row r="39">
      <c r="A39" s="1" t="s">
        <v>382</v>
      </c>
      <c r="B39" s="73">
        <f>Income!B6+Income!G6</f>
        <v>7873.082308</v>
      </c>
      <c r="C39" s="73">
        <f>Income!C6+Income!H6</f>
        <v>17058.345</v>
      </c>
      <c r="D39" s="73">
        <f>Income!D6+Income!I6</f>
        <v>204700.14</v>
      </c>
      <c r="E39" s="8"/>
      <c r="F39" s="124"/>
      <c r="G39" s="73"/>
      <c r="H39" s="73"/>
      <c r="I39" s="73"/>
      <c r="J39" s="8"/>
      <c r="K39" s="20"/>
      <c r="L39" s="125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" t="s">
        <v>384</v>
      </c>
      <c r="B40" s="73">
        <f t="shared" ref="B40:D40" si="31">B39-B38</f>
        <v>1165.17132</v>
      </c>
      <c r="C40" s="73">
        <f t="shared" si="31"/>
        <v>2514.964527</v>
      </c>
      <c r="D40" s="73">
        <f t="shared" si="31"/>
        <v>30215.45432</v>
      </c>
      <c r="E40" s="8"/>
      <c r="F40" s="126"/>
      <c r="G40" s="73"/>
      <c r="H40" s="73"/>
      <c r="I40" s="73"/>
      <c r="J40" s="22"/>
      <c r="K40" s="20"/>
      <c r="L40" s="125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3"/>
      <c r="B41" s="73"/>
      <c r="C41" s="73"/>
      <c r="D41" s="73"/>
      <c r="E41" s="8"/>
      <c r="J41" s="95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22"/>
      <c r="G42" s="113"/>
      <c r="H42" s="8"/>
      <c r="I42" s="95"/>
      <c r="J42" s="95"/>
      <c r="K42" s="8"/>
      <c r="L42" s="8"/>
      <c r="M42" s="8"/>
      <c r="N42" s="16"/>
      <c r="O42" s="16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3"/>
      <c r="B43" s="113"/>
      <c r="C43" s="113"/>
      <c r="D43" s="8"/>
      <c r="E43" s="8"/>
      <c r="F43" s="8"/>
      <c r="G43" s="8"/>
      <c r="H43" s="8"/>
      <c r="I43" s="8"/>
      <c r="J43" s="95"/>
      <c r="K43" s="8"/>
      <c r="L43" s="8"/>
      <c r="M43" s="16"/>
      <c r="N43" s="16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D44" s="113"/>
      <c r="E44" s="8"/>
      <c r="F44" s="8"/>
      <c r="G44" s="8"/>
      <c r="H44" s="22"/>
      <c r="I44" s="8"/>
      <c r="J44" s="95"/>
      <c r="K44" s="8"/>
      <c r="L44" s="8"/>
      <c r="M44" s="1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"/>
      <c r="B45" s="113"/>
      <c r="C45" s="113"/>
      <c r="D45" s="113"/>
      <c r="E45" s="8"/>
      <c r="F45" s="22"/>
      <c r="G45" s="73"/>
      <c r="H45" s="73"/>
      <c r="I45" s="8"/>
      <c r="J45" s="95"/>
      <c r="K45" s="42"/>
      <c r="L45" s="12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3"/>
      <c r="B46" s="113"/>
      <c r="C46" s="113"/>
      <c r="D46" s="8"/>
      <c r="E46" s="8"/>
      <c r="F46" s="22"/>
      <c r="G46" s="73"/>
      <c r="H46" s="73"/>
      <c r="I46" s="8"/>
      <c r="J46" s="95"/>
      <c r="K46" s="42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95"/>
      <c r="E47" s="8"/>
      <c r="F47" s="22"/>
      <c r="G47" s="73"/>
      <c r="H47" s="73"/>
      <c r="I47" s="8"/>
      <c r="J47" s="8"/>
      <c r="K47" s="42"/>
      <c r="L47" s="8"/>
      <c r="M47" s="8"/>
      <c r="N47" s="16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42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16"/>
      <c r="H49" s="8"/>
      <c r="I49" s="8"/>
      <c r="J49" s="8"/>
      <c r="K49" s="42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16"/>
      <c r="G50" s="73"/>
      <c r="H50" s="127"/>
      <c r="I50" s="8"/>
      <c r="J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22"/>
      <c r="D51" s="22"/>
      <c r="E51" s="22"/>
      <c r="F51" s="16"/>
      <c r="G51" s="73"/>
      <c r="I51" s="128"/>
      <c r="J51" s="22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2"/>
      <c r="B52" s="8"/>
      <c r="C52" s="8"/>
      <c r="D52" s="8"/>
      <c r="E52" s="8"/>
      <c r="F52" s="16"/>
      <c r="G52" s="8"/>
      <c r="H52" s="8"/>
      <c r="I52" s="8"/>
      <c r="J52" s="8"/>
      <c r="K52" s="81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2"/>
      <c r="B53" s="8"/>
      <c r="C53" s="8"/>
      <c r="D53" s="8"/>
      <c r="E53" s="8"/>
      <c r="J53" s="8"/>
      <c r="K53" s="81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2"/>
      <c r="B54" s="8"/>
      <c r="C54" s="8"/>
      <c r="D54" s="8"/>
      <c r="E54" s="8"/>
      <c r="G54" s="73"/>
      <c r="H54" s="12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2"/>
      <c r="B55" s="8"/>
      <c r="C55" s="8"/>
      <c r="D55" s="8"/>
      <c r="E55" s="8"/>
      <c r="F55" s="16"/>
      <c r="G55" s="73"/>
      <c r="H55" s="8"/>
      <c r="I55" s="128"/>
      <c r="J55" s="8"/>
      <c r="K55" s="81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2"/>
      <c r="B56" s="8"/>
      <c r="C56" s="8"/>
      <c r="D56" s="8"/>
      <c r="E56" s="8"/>
      <c r="F56" s="16"/>
      <c r="G56" s="73"/>
      <c r="H56" s="8"/>
      <c r="I56" s="8"/>
      <c r="J56" s="8"/>
      <c r="K56" s="81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2"/>
      <c r="B57" s="8"/>
      <c r="C57" s="8"/>
      <c r="D57" s="8"/>
      <c r="E57" s="8"/>
      <c r="J57" s="8"/>
      <c r="K57" s="81"/>
      <c r="L57" s="12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2"/>
      <c r="B58" s="113"/>
      <c r="C58" s="8"/>
      <c r="D58" s="8"/>
      <c r="E58" s="8"/>
      <c r="G58" s="73"/>
      <c r="H58" s="12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22"/>
      <c r="B59" s="8"/>
      <c r="C59" s="8"/>
      <c r="D59" s="8"/>
      <c r="E59" s="8"/>
      <c r="F59" s="16"/>
      <c r="G59" s="73"/>
      <c r="H59" s="8"/>
      <c r="I59" s="12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22"/>
      <c r="B60" s="8"/>
      <c r="C60" s="8"/>
      <c r="D60" s="8"/>
      <c r="E60" s="8"/>
      <c r="F60" s="16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22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22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22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2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22"/>
      <c r="B65" s="95"/>
      <c r="C65" s="95"/>
      <c r="D65" s="95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2"/>
      <c r="B67" s="22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2"/>
      <c r="B68" s="95"/>
      <c r="C68" s="9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2"/>
      <c r="B69" s="95"/>
      <c r="C69" s="9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2"/>
      <c r="B70" s="95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2"/>
      <c r="B71" s="95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2"/>
      <c r="B73" s="22"/>
      <c r="C73" s="22"/>
      <c r="D73" s="22"/>
      <c r="E73" s="22"/>
      <c r="F73" s="8"/>
      <c r="G73" s="8"/>
      <c r="H73" s="8"/>
      <c r="I73" s="8"/>
      <c r="J73" s="22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2"/>
      <c r="B74" s="95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2"/>
      <c r="B75" s="95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2"/>
      <c r="B76" s="95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2"/>
      <c r="B77" s="95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2"/>
      <c r="B78" s="95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2"/>
      <c r="B79" s="95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2"/>
      <c r="B80" s="95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2"/>
      <c r="B81" s="95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2"/>
      <c r="B83" s="22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2"/>
      <c r="B84" s="113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2"/>
      <c r="B85" s="95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2"/>
      <c r="B86" s="95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2"/>
      <c r="B87" s="95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2"/>
      <c r="B88" s="95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22"/>
      <c r="B89" s="113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2"/>
      <c r="B90" s="95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2"/>
      <c r="B91" s="95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2"/>
      <c r="B92" s="95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22"/>
      <c r="B93" s="95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22"/>
      <c r="B94" s="95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2"/>
      <c r="B95" s="95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2"/>
      <c r="B96" s="11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2"/>
      <c r="B97" s="95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2"/>
      <c r="B98" s="95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22"/>
      <c r="B99" s="95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2"/>
      <c r="B100" s="95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2"/>
      <c r="B101" s="95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2"/>
      <c r="B102" s="95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2"/>
      <c r="B103" s="95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</sheetData>
  <dataValidations>
    <dataValidation type="custom" allowBlank="1" showDropDown="1" sqref="G3:I33 B3:D33 V3:X33 Q3:S33 L3:N33">
      <formula1>AND(ISNUMBER(B3),(NOT(OR(NOT(ISERROR(DATEVALUE(B3))), AND(ISNUMBER(B3), LEFT(CELL("format", B3))="D")))))</formula1>
    </dataValidation>
    <dataValidation allowBlank="1" showDropDown="1" sqref="P3:P33"/>
  </dataValidations>
  <drawing r:id="rId4"/>
  <legacyDrawing r:id="rId5"/>
  <tableParts count="5"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>
      <c r="A1" s="48" t="s">
        <v>1</v>
      </c>
      <c r="B1" s="49">
        <f>TODAY()</f>
        <v>46244</v>
      </c>
      <c r="C1" s="49">
        <f t="shared" ref="C1:O1" si="1">B1+7*4</f>
        <v>46272</v>
      </c>
      <c r="D1" s="49">
        <f t="shared" si="1"/>
        <v>46300</v>
      </c>
      <c r="E1" s="49">
        <f t="shared" si="1"/>
        <v>46328</v>
      </c>
      <c r="F1" s="49">
        <f t="shared" si="1"/>
        <v>46356</v>
      </c>
      <c r="G1" s="49">
        <f t="shared" si="1"/>
        <v>46384</v>
      </c>
      <c r="H1" s="49">
        <f t="shared" si="1"/>
        <v>46412</v>
      </c>
      <c r="I1" s="49">
        <f t="shared" si="1"/>
        <v>46440</v>
      </c>
      <c r="J1" s="49">
        <f t="shared" si="1"/>
        <v>46468</v>
      </c>
      <c r="K1" s="49">
        <f t="shared" si="1"/>
        <v>46496</v>
      </c>
      <c r="L1" s="49">
        <f t="shared" si="1"/>
        <v>46524</v>
      </c>
      <c r="M1" s="49">
        <f t="shared" si="1"/>
        <v>46552</v>
      </c>
      <c r="N1" s="49">
        <f t="shared" si="1"/>
        <v>46580</v>
      </c>
      <c r="O1" s="49">
        <f t="shared" si="1"/>
        <v>46608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>
      <c r="A2" s="48" t="s">
        <v>82</v>
      </c>
      <c r="B2" s="55">
        <f>103662</f>
        <v>103662</v>
      </c>
      <c r="C2" s="55">
        <f>B2+Expenses!$C40</f>
        <v>106176.9645</v>
      </c>
      <c r="D2" s="55">
        <f>C2+Expenses!$C40</f>
        <v>108691.9291</v>
      </c>
      <c r="E2" s="55">
        <f>D2+Expenses!$C40</f>
        <v>111206.8936</v>
      </c>
      <c r="F2" s="55">
        <f>E2+Expenses!$C40</f>
        <v>113721.8581</v>
      </c>
      <c r="G2" s="55">
        <f>F2+Expenses!$C40</f>
        <v>116236.8226</v>
      </c>
      <c r="H2" s="55">
        <f>G2+Expenses!$C40</f>
        <v>118751.7872</v>
      </c>
      <c r="I2" s="55">
        <f>H2+Expenses!$C40</f>
        <v>121266.7517</v>
      </c>
      <c r="J2" s="55">
        <f>I2+Expenses!$C40</f>
        <v>123781.7162</v>
      </c>
      <c r="K2" s="55">
        <f>J2+Expenses!$C40</f>
        <v>126296.6807</v>
      </c>
      <c r="L2" s="55">
        <f>K2+Expenses!$C40</f>
        <v>128811.6453</v>
      </c>
      <c r="M2" s="55">
        <f>L2+Expenses!$C40</f>
        <v>131326.6098</v>
      </c>
      <c r="N2" s="55">
        <f>M2+Expenses!$C40</f>
        <v>133841.5743</v>
      </c>
      <c r="O2" s="55">
        <f>N2+Expenses!$C40</f>
        <v>136356.5388</v>
      </c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</row>
    <row r="3">
      <c r="A3" s="61"/>
      <c r="B3" s="62"/>
      <c r="D3" s="63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62"/>
      <c r="AE3" s="62"/>
      <c r="AF3" s="8"/>
      <c r="AG3" s="8"/>
      <c r="AH3" s="8"/>
      <c r="AI3" s="8"/>
      <c r="AJ3" s="8"/>
      <c r="AK3" s="8"/>
      <c r="AL3" s="8"/>
      <c r="AM3" s="8"/>
    </row>
    <row r="4">
      <c r="A4" s="61"/>
      <c r="B4" s="62"/>
      <c r="D4" s="8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62"/>
      <c r="AK4" s="10"/>
      <c r="AL4" s="10"/>
      <c r="AM4" s="10"/>
    </row>
    <row r="5">
      <c r="A5" s="61"/>
      <c r="B5" s="62"/>
      <c r="D5" s="8"/>
      <c r="E5" s="10"/>
      <c r="F5" s="10"/>
      <c r="G5" s="10"/>
      <c r="H5" s="62"/>
      <c r="I5" s="62"/>
      <c r="J5" s="8"/>
      <c r="K5" s="8"/>
      <c r="L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10"/>
      <c r="AJ5" s="8"/>
      <c r="AK5" s="8"/>
      <c r="AL5" s="8"/>
      <c r="AM5" s="8"/>
    </row>
    <row r="6">
      <c r="A6" s="61"/>
      <c r="B6" s="62"/>
      <c r="D6" s="8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62"/>
      <c r="R6" s="62"/>
      <c r="S6" s="62"/>
      <c r="T6" s="62"/>
      <c r="U6" s="62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/>
      <c r="AG6" s="8"/>
      <c r="AH6" s="8"/>
      <c r="AI6" s="8"/>
      <c r="AJ6" s="8"/>
      <c r="AK6" s="8"/>
      <c r="AL6" s="8"/>
      <c r="AM6" s="8"/>
    </row>
    <row r="7">
      <c r="A7" s="8"/>
      <c r="B7" s="8"/>
      <c r="D7" s="8"/>
      <c r="E7" s="8"/>
      <c r="F7" s="8"/>
      <c r="G7" s="8"/>
      <c r="H7" s="8"/>
      <c r="I7" s="8"/>
      <c r="J7" s="8"/>
      <c r="K7" s="10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>
      <c r="A8" s="3"/>
      <c r="B8" s="20"/>
      <c r="C8" s="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0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>
      <c r="A9" s="20"/>
      <c r="B9" s="73"/>
      <c r="C9" s="7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>
      <c r="A10" s="20"/>
      <c r="B10" s="73"/>
      <c r="C10" s="6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10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>
      <c r="A11" s="20"/>
      <c r="B11" s="73"/>
      <c r="C11" s="7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>
      <c r="A12" s="3"/>
      <c r="B12" s="73"/>
      <c r="C12" s="7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>
      <c r="A13" s="8"/>
      <c r="B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10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>
      <c r="A14" s="8"/>
      <c r="B14" s="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>
      <c r="A15" s="3"/>
      <c r="B15" s="8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>
      <c r="A16" s="20"/>
      <c r="B16" s="7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>
      <c r="A17" s="81"/>
      <c r="B17" s="6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>
      <c r="A18" s="83"/>
      <c r="B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>
      <c r="A19" s="83"/>
      <c r="B19" s="7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>
      <c r="A20" s="83"/>
      <c r="B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>
      <c r="B21" s="8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>
      <c r="A22" s="3"/>
      <c r="B22" s="6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>
      <c r="A23" s="3"/>
      <c r="B23" s="6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>
      <c r="A24" s="48"/>
      <c r="B24" s="4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>
      <c r="A25" s="48"/>
      <c r="B25" s="4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>
      <c r="A26" s="81"/>
      <c r="B26" s="6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>
      <c r="A28" s="8"/>
      <c r="B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>
      <c r="A29" s="8"/>
      <c r="B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</row>
    <row r="30">
      <c r="A30" s="8"/>
      <c r="B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</row>
    <row r="31">
      <c r="A31" s="8"/>
      <c r="B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</row>
    <row r="32">
      <c r="A32" s="8"/>
      <c r="B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</row>
    <row r="33">
      <c r="A33" s="8"/>
      <c r="B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</row>
    <row r="34">
      <c r="A34" s="8"/>
      <c r="B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</row>
    <row r="35">
      <c r="A35" s="8"/>
      <c r="B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</row>
    <row r="36">
      <c r="A36" s="8"/>
      <c r="B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</row>
    <row r="37">
      <c r="A37" s="8"/>
      <c r="B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>
      <c r="A38" s="8"/>
      <c r="B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</row>
    <row r="39">
      <c r="A39" s="8"/>
      <c r="B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>
      <c r="A40" s="8"/>
      <c r="B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</row>
    <row r="41">
      <c r="A41" s="8"/>
      <c r="B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>
      <c r="A42" s="8"/>
      <c r="B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>
      <c r="A43" s="8"/>
      <c r="B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>
      <c r="A44" s="8"/>
      <c r="B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>
      <c r="A45" s="8"/>
      <c r="B45" s="8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8"/>
      <c r="AL45" s="8"/>
      <c r="AM45" s="8"/>
    </row>
    <row r="46">
      <c r="A46" s="8"/>
      <c r="B46" s="8"/>
      <c r="C46" s="8"/>
      <c r="D46" s="95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/>
      <c r="C1" s="4"/>
      <c r="D1" s="5"/>
      <c r="F1" s="7" t="s">
        <v>9</v>
      </c>
      <c r="G1" s="9"/>
      <c r="H1" s="9"/>
      <c r="I1" s="11"/>
    </row>
    <row r="2">
      <c r="A2" s="12" t="s">
        <v>12</v>
      </c>
      <c r="B2" s="13" t="s">
        <v>15</v>
      </c>
      <c r="C2" s="13" t="s">
        <v>16</v>
      </c>
      <c r="D2" s="14" t="s">
        <v>18</v>
      </c>
      <c r="F2" s="15" t="s">
        <v>12</v>
      </c>
      <c r="G2" s="17" t="s">
        <v>15</v>
      </c>
      <c r="H2" s="17" t="s">
        <v>16</v>
      </c>
      <c r="I2" s="18" t="s">
        <v>18</v>
      </c>
    </row>
    <row r="3">
      <c r="A3" s="19" t="s">
        <v>25</v>
      </c>
      <c r="B3" s="21">
        <v>5477.85</v>
      </c>
      <c r="C3" s="23">
        <f>D3/12</f>
        <v>11868.675</v>
      </c>
      <c r="D3" s="24">
        <f>B3*26</f>
        <v>142424.1</v>
      </c>
      <c r="F3" s="25" t="s">
        <v>25</v>
      </c>
      <c r="G3" s="23">
        <f>H3*12/26</f>
        <v>2395.232308</v>
      </c>
      <c r="H3" s="21">
        <v>5189.67</v>
      </c>
      <c r="I3" s="28">
        <f>G3*26</f>
        <v>62276.04</v>
      </c>
    </row>
    <row r="4">
      <c r="A4" s="29"/>
      <c r="B4" s="30"/>
      <c r="C4" s="23"/>
      <c r="D4" s="31"/>
      <c r="F4" s="32"/>
      <c r="I4" s="34"/>
    </row>
    <row r="5">
      <c r="A5" s="35"/>
      <c r="B5" s="36"/>
      <c r="C5" s="36"/>
      <c r="D5" s="37"/>
      <c r="F5" s="39"/>
      <c r="G5" s="40"/>
      <c r="H5" s="40"/>
      <c r="I5" s="41"/>
    </row>
    <row r="6">
      <c r="A6" s="42" t="s">
        <v>58</v>
      </c>
      <c r="B6" s="43">
        <f t="shared" ref="B6:D6" si="1">B3</f>
        <v>5477.85</v>
      </c>
      <c r="C6" s="44">
        <f t="shared" si="1"/>
        <v>11868.675</v>
      </c>
      <c r="D6" s="43">
        <f t="shared" si="1"/>
        <v>142424.1</v>
      </c>
      <c r="F6" s="42" t="s">
        <v>58</v>
      </c>
      <c r="G6" s="44">
        <f t="shared" ref="G6:I6" si="2">SUM(G3:G5)</f>
        <v>2395.232308</v>
      </c>
      <c r="H6" s="43">
        <f t="shared" si="2"/>
        <v>5189.67</v>
      </c>
      <c r="I6" s="44">
        <f t="shared" si="2"/>
        <v>62276.04</v>
      </c>
    </row>
    <row r="7">
      <c r="A7" s="47"/>
      <c r="B7" s="21"/>
      <c r="C7" s="23"/>
      <c r="F7" s="47"/>
      <c r="G7" s="43"/>
      <c r="H7" s="21"/>
      <c r="I7" s="43"/>
    </row>
    <row r="8">
      <c r="A8" s="42"/>
      <c r="C8" s="23"/>
      <c r="F8" s="42"/>
      <c r="G8" s="43"/>
      <c r="H8" s="21"/>
      <c r="I8" s="43"/>
    </row>
    <row r="10">
      <c r="H10" s="21"/>
    </row>
    <row r="11">
      <c r="H11" s="21"/>
    </row>
    <row r="12">
      <c r="H12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3" width="41.25"/>
    <col customWidth="1" min="5" max="5" width="38.0"/>
    <col customWidth="1" min="6" max="6" width="13.13"/>
    <col customWidth="1" min="7" max="7" width="23.75"/>
    <col customWidth="1" min="8" max="8" width="27.63"/>
  </cols>
  <sheetData>
    <row r="1">
      <c r="A1" s="1" t="s">
        <v>1</v>
      </c>
      <c r="B1" s="1" t="s">
        <v>2</v>
      </c>
      <c r="C1" s="3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6">
        <v>46240.0</v>
      </c>
      <c r="B2" s="8" t="s">
        <v>10</v>
      </c>
      <c r="C2" s="8"/>
      <c r="D2" s="10">
        <v>623.8</v>
      </c>
      <c r="E2" s="8" t="s">
        <v>11</v>
      </c>
      <c r="F2" s="8" t="s">
        <v>13</v>
      </c>
      <c r="G2" s="8" t="s">
        <v>14</v>
      </c>
      <c r="H2" s="8"/>
    </row>
    <row r="3">
      <c r="A3" s="6">
        <v>46240.0</v>
      </c>
      <c r="B3" s="8" t="s">
        <v>17</v>
      </c>
      <c r="C3" s="8"/>
      <c r="D3" s="10">
        <v>1.09</v>
      </c>
      <c r="E3" s="8" t="s">
        <v>19</v>
      </c>
      <c r="F3" s="8" t="s">
        <v>20</v>
      </c>
      <c r="G3" s="16" t="s">
        <v>21</v>
      </c>
      <c r="H3" s="16" t="s">
        <v>22</v>
      </c>
    </row>
    <row r="4">
      <c r="A4" s="6">
        <v>46240.0</v>
      </c>
      <c r="B4" s="8" t="s">
        <v>23</v>
      </c>
      <c r="C4" s="8"/>
      <c r="D4" s="10">
        <v>37.75</v>
      </c>
      <c r="E4" s="8" t="s">
        <v>24</v>
      </c>
      <c r="F4" s="8" t="s">
        <v>13</v>
      </c>
      <c r="G4" s="8" t="s">
        <v>26</v>
      </c>
      <c r="H4" s="8"/>
    </row>
    <row r="5">
      <c r="A5" s="6">
        <v>46240.0</v>
      </c>
      <c r="B5" s="8" t="s">
        <v>27</v>
      </c>
      <c r="C5" s="8"/>
      <c r="D5" s="10">
        <v>32.08</v>
      </c>
      <c r="E5" s="8" t="s">
        <v>28</v>
      </c>
      <c r="F5" s="8" t="s">
        <v>13</v>
      </c>
      <c r="G5" s="8" t="s">
        <v>29</v>
      </c>
      <c r="H5" s="8"/>
    </row>
    <row r="6">
      <c r="A6" s="6">
        <v>46239.0</v>
      </c>
      <c r="B6" s="8" t="s">
        <v>30</v>
      </c>
      <c r="C6" s="16" t="s">
        <v>31</v>
      </c>
      <c r="D6" s="10">
        <v>8.99</v>
      </c>
      <c r="E6" s="8" t="s">
        <v>32</v>
      </c>
      <c r="F6" s="8" t="s">
        <v>20</v>
      </c>
      <c r="G6" s="16" t="s">
        <v>26</v>
      </c>
      <c r="H6" s="16" t="s">
        <v>33</v>
      </c>
    </row>
    <row r="7">
      <c r="A7" s="6">
        <v>46239.0</v>
      </c>
      <c r="B7" s="8" t="s">
        <v>34</v>
      </c>
      <c r="C7" s="8"/>
      <c r="D7" s="10">
        <v>43.19</v>
      </c>
      <c r="E7" s="8" t="s">
        <v>35</v>
      </c>
      <c r="F7" s="8" t="s">
        <v>20</v>
      </c>
      <c r="G7" s="8" t="s">
        <v>29</v>
      </c>
      <c r="H7" s="8"/>
    </row>
    <row r="8">
      <c r="A8" s="6">
        <v>46239.0</v>
      </c>
      <c r="B8" s="8" t="s">
        <v>36</v>
      </c>
      <c r="C8" s="8"/>
      <c r="D8" s="10">
        <v>0.74</v>
      </c>
      <c r="E8" s="8" t="s">
        <v>19</v>
      </c>
      <c r="F8" s="8" t="s">
        <v>20</v>
      </c>
      <c r="G8" s="16" t="s">
        <v>21</v>
      </c>
      <c r="H8" s="16" t="s">
        <v>22</v>
      </c>
    </row>
    <row r="9">
      <c r="A9" s="6">
        <v>46239.0</v>
      </c>
      <c r="B9" s="8" t="s">
        <v>37</v>
      </c>
      <c r="C9" s="8"/>
      <c r="D9" s="10">
        <v>25.58</v>
      </c>
      <c r="E9" s="8" t="s">
        <v>38</v>
      </c>
      <c r="F9" s="8" t="s">
        <v>20</v>
      </c>
      <c r="G9" s="8" t="s">
        <v>26</v>
      </c>
      <c r="H9" s="8"/>
    </row>
    <row r="10">
      <c r="A10" s="6">
        <v>46239.0</v>
      </c>
      <c r="B10" s="8" t="s">
        <v>40</v>
      </c>
      <c r="C10" s="16" t="s">
        <v>41</v>
      </c>
      <c r="D10" s="10">
        <v>55.13</v>
      </c>
      <c r="E10" s="16" t="s">
        <v>42</v>
      </c>
      <c r="F10" s="16" t="s">
        <v>13</v>
      </c>
      <c r="G10" s="16" t="s">
        <v>26</v>
      </c>
      <c r="H10" s="16"/>
    </row>
    <row r="11">
      <c r="A11" s="6">
        <v>46239.0</v>
      </c>
      <c r="B11" s="8" t="s">
        <v>43</v>
      </c>
      <c r="C11" s="8"/>
      <c r="D11" s="10">
        <v>56.29</v>
      </c>
      <c r="E11" s="27" t="s">
        <v>44</v>
      </c>
      <c r="F11" s="8" t="s">
        <v>20</v>
      </c>
      <c r="G11" s="16" t="s">
        <v>29</v>
      </c>
      <c r="H11" s="8"/>
    </row>
    <row r="12">
      <c r="A12" s="6">
        <v>46238.0</v>
      </c>
      <c r="B12" s="8" t="s">
        <v>45</v>
      </c>
      <c r="C12" s="8"/>
      <c r="D12" s="10">
        <v>185.68</v>
      </c>
      <c r="E12" s="8" t="s">
        <v>46</v>
      </c>
      <c r="F12" s="8" t="s">
        <v>13</v>
      </c>
      <c r="G12" s="8" t="s">
        <v>14</v>
      </c>
      <c r="H12" s="8"/>
    </row>
    <row r="13">
      <c r="A13" s="6">
        <v>46238.0</v>
      </c>
      <c r="B13" s="8" t="s">
        <v>47</v>
      </c>
      <c r="C13" s="8"/>
      <c r="D13" s="10">
        <v>20.2</v>
      </c>
      <c r="E13" s="8" t="s">
        <v>48</v>
      </c>
      <c r="F13" s="8" t="s">
        <v>20</v>
      </c>
      <c r="G13" s="8" t="s">
        <v>26</v>
      </c>
      <c r="H13" s="8"/>
    </row>
    <row r="14">
      <c r="A14" s="6">
        <v>46238.0</v>
      </c>
      <c r="B14" s="8" t="s">
        <v>49</v>
      </c>
      <c r="C14" s="8"/>
      <c r="D14" s="10">
        <v>291.3</v>
      </c>
      <c r="E14" s="8" t="s">
        <v>50</v>
      </c>
      <c r="F14" s="8" t="s">
        <v>20</v>
      </c>
      <c r="G14" s="8" t="s">
        <v>14</v>
      </c>
      <c r="H14" s="8"/>
    </row>
    <row r="15">
      <c r="A15" s="6">
        <v>46238.0</v>
      </c>
      <c r="B15" s="8" t="s">
        <v>51</v>
      </c>
      <c r="C15" s="8"/>
      <c r="D15" s="10">
        <v>123.06</v>
      </c>
      <c r="E15" s="8" t="s">
        <v>52</v>
      </c>
      <c r="F15" s="8" t="s">
        <v>13</v>
      </c>
      <c r="G15" s="8" t="s">
        <v>29</v>
      </c>
      <c r="H15" s="8"/>
    </row>
    <row r="16">
      <c r="A16" s="6">
        <v>46238.0</v>
      </c>
      <c r="B16" s="8" t="s">
        <v>53</v>
      </c>
      <c r="C16" s="8"/>
      <c r="D16" s="10">
        <v>10.19</v>
      </c>
      <c r="E16" s="8" t="s">
        <v>54</v>
      </c>
      <c r="F16" s="8" t="s">
        <v>13</v>
      </c>
      <c r="G16" s="8" t="s">
        <v>26</v>
      </c>
      <c r="H16" s="8"/>
    </row>
    <row r="17">
      <c r="A17" s="6">
        <v>46237.0</v>
      </c>
      <c r="B17" s="8" t="s">
        <v>55</v>
      </c>
      <c r="C17" s="16" t="s">
        <v>56</v>
      </c>
      <c r="D17" s="10">
        <v>191.37</v>
      </c>
      <c r="E17" s="8" t="s">
        <v>57</v>
      </c>
      <c r="F17" s="16" t="s">
        <v>13</v>
      </c>
      <c r="G17" s="16" t="s">
        <v>26</v>
      </c>
      <c r="H17" s="16" t="s">
        <v>33</v>
      </c>
    </row>
    <row r="18">
      <c r="A18" s="6">
        <v>46236.0</v>
      </c>
      <c r="B18" s="8" t="s">
        <v>59</v>
      </c>
      <c r="C18" s="8"/>
      <c r="D18" s="10">
        <v>0.83</v>
      </c>
      <c r="E18" s="8" t="s">
        <v>60</v>
      </c>
      <c r="F18" s="8" t="s">
        <v>20</v>
      </c>
      <c r="G18" s="8" t="s">
        <v>26</v>
      </c>
      <c r="H18" s="8"/>
    </row>
    <row r="19">
      <c r="A19" s="6">
        <v>46236.0</v>
      </c>
      <c r="B19" s="8" t="s">
        <v>61</v>
      </c>
      <c r="C19" s="8"/>
      <c r="D19" s="10">
        <v>25.96</v>
      </c>
      <c r="E19" s="8" t="s">
        <v>62</v>
      </c>
      <c r="F19" s="8" t="s">
        <v>20</v>
      </c>
      <c r="G19" s="8" t="s">
        <v>26</v>
      </c>
      <c r="H19" s="8"/>
    </row>
    <row r="20">
      <c r="A20" s="6">
        <v>46235.0</v>
      </c>
      <c r="B20" s="8" t="s">
        <v>40</v>
      </c>
      <c r="C20" s="16" t="s">
        <v>63</v>
      </c>
      <c r="D20" s="10">
        <v>67.5</v>
      </c>
      <c r="E20" s="16" t="s">
        <v>64</v>
      </c>
      <c r="F20" s="16" t="s">
        <v>13</v>
      </c>
      <c r="G20" s="16" t="s">
        <v>26</v>
      </c>
      <c r="H20" s="16" t="s">
        <v>65</v>
      </c>
    </row>
    <row r="21">
      <c r="A21" s="6">
        <v>46235.0</v>
      </c>
      <c r="B21" s="8" t="s">
        <v>66</v>
      </c>
      <c r="C21" s="8"/>
      <c r="D21" s="10">
        <v>65.27</v>
      </c>
      <c r="E21" s="8" t="s">
        <v>68</v>
      </c>
      <c r="F21" s="8" t="s">
        <v>20</v>
      </c>
      <c r="G21" s="8" t="s">
        <v>26</v>
      </c>
      <c r="H21" s="8"/>
    </row>
    <row r="22">
      <c r="A22" s="6">
        <v>46235.0</v>
      </c>
      <c r="B22" s="8" t="s">
        <v>69</v>
      </c>
      <c r="C22" s="8"/>
      <c r="D22" s="10">
        <v>10.2</v>
      </c>
      <c r="E22" s="8" t="s">
        <v>19</v>
      </c>
      <c r="F22" s="8" t="s">
        <v>20</v>
      </c>
      <c r="G22" s="16" t="s">
        <v>21</v>
      </c>
      <c r="H22" s="16" t="s">
        <v>22</v>
      </c>
    </row>
    <row r="23">
      <c r="A23" s="6">
        <v>46235.0</v>
      </c>
      <c r="B23" s="8" t="s">
        <v>70</v>
      </c>
      <c r="C23" s="8"/>
      <c r="D23" s="10">
        <v>350.2</v>
      </c>
      <c r="E23" s="8" t="s">
        <v>71</v>
      </c>
      <c r="F23" s="8" t="s">
        <v>20</v>
      </c>
      <c r="G23" s="8" t="s">
        <v>29</v>
      </c>
      <c r="H23" s="8"/>
    </row>
    <row r="24">
      <c r="A24" s="6">
        <v>46235.0</v>
      </c>
      <c r="B24" s="8" t="s">
        <v>47</v>
      </c>
      <c r="C24" s="8"/>
      <c r="D24" s="10">
        <v>20.2</v>
      </c>
      <c r="E24" s="8" t="s">
        <v>48</v>
      </c>
      <c r="F24" s="8" t="s">
        <v>20</v>
      </c>
      <c r="G24" s="8" t="s">
        <v>26</v>
      </c>
      <c r="H24" s="8"/>
    </row>
    <row r="25">
      <c r="A25" s="6">
        <v>46235.0</v>
      </c>
      <c r="B25" s="8" t="s">
        <v>72</v>
      </c>
      <c r="C25" s="8"/>
      <c r="D25" s="10">
        <v>21.64</v>
      </c>
      <c r="E25" s="8" t="s">
        <v>73</v>
      </c>
      <c r="F25" s="8" t="s">
        <v>13</v>
      </c>
      <c r="G25" s="8" t="s">
        <v>29</v>
      </c>
      <c r="H25" s="8"/>
    </row>
    <row r="26">
      <c r="A26" s="6">
        <v>46234.0</v>
      </c>
      <c r="B26" s="8" t="s">
        <v>55</v>
      </c>
      <c r="C26" s="16" t="s">
        <v>74</v>
      </c>
      <c r="D26" s="10">
        <v>65.99</v>
      </c>
      <c r="E26" s="8" t="s">
        <v>57</v>
      </c>
      <c r="F26" s="16" t="s">
        <v>13</v>
      </c>
      <c r="G26" s="16" t="s">
        <v>26</v>
      </c>
      <c r="H26" s="16" t="s">
        <v>33</v>
      </c>
    </row>
    <row r="27">
      <c r="A27" s="6">
        <v>46234.0</v>
      </c>
      <c r="B27" s="8" t="s">
        <v>72</v>
      </c>
      <c r="C27" s="8"/>
      <c r="D27" s="10">
        <v>21.64</v>
      </c>
      <c r="E27" s="8" t="s">
        <v>73</v>
      </c>
      <c r="F27" s="8" t="s">
        <v>13</v>
      </c>
      <c r="G27" s="8" t="s">
        <v>29</v>
      </c>
      <c r="H27" s="8"/>
    </row>
    <row r="28">
      <c r="A28" s="6">
        <v>46234.0</v>
      </c>
      <c r="B28" s="8" t="s">
        <v>75</v>
      </c>
      <c r="C28" s="8"/>
      <c r="D28" s="10">
        <v>0.9</v>
      </c>
      <c r="E28" s="8" t="s">
        <v>19</v>
      </c>
      <c r="F28" s="8" t="s">
        <v>20</v>
      </c>
      <c r="G28" s="16" t="s">
        <v>21</v>
      </c>
      <c r="H28" s="16" t="s">
        <v>22</v>
      </c>
    </row>
    <row r="29">
      <c r="A29" s="6">
        <v>46234.0</v>
      </c>
      <c r="B29" s="8" t="s">
        <v>76</v>
      </c>
      <c r="C29" s="8"/>
      <c r="D29" s="10">
        <v>30.9</v>
      </c>
      <c r="E29" s="8" t="s">
        <v>78</v>
      </c>
      <c r="F29" s="8" t="s">
        <v>13</v>
      </c>
      <c r="G29" s="8" t="s">
        <v>26</v>
      </c>
      <c r="H29" s="8"/>
    </row>
    <row r="30">
      <c r="A30" s="6">
        <v>46234.0</v>
      </c>
      <c r="B30" s="8" t="s">
        <v>79</v>
      </c>
      <c r="C30" s="8"/>
      <c r="D30" s="10">
        <v>23.37</v>
      </c>
      <c r="E30" s="8" t="s">
        <v>80</v>
      </c>
      <c r="F30" s="8" t="s">
        <v>13</v>
      </c>
      <c r="G30" s="8" t="s">
        <v>26</v>
      </c>
      <c r="H30" s="8"/>
    </row>
    <row r="31">
      <c r="A31" s="6">
        <v>46233.0</v>
      </c>
      <c r="B31" s="8" t="s">
        <v>27</v>
      </c>
      <c r="C31" s="8"/>
      <c r="D31" s="10">
        <v>48.13</v>
      </c>
      <c r="E31" s="8" t="s">
        <v>28</v>
      </c>
      <c r="F31" s="8" t="s">
        <v>13</v>
      </c>
      <c r="G31" s="8" t="s">
        <v>29</v>
      </c>
      <c r="H31" s="8"/>
    </row>
    <row r="32">
      <c r="A32" s="6">
        <v>46233.0</v>
      </c>
      <c r="B32" s="8" t="s">
        <v>81</v>
      </c>
      <c r="C32" s="8"/>
      <c r="D32" s="10">
        <v>15.26</v>
      </c>
      <c r="E32" s="8" t="s">
        <v>35</v>
      </c>
      <c r="F32" s="8" t="s">
        <v>20</v>
      </c>
      <c r="G32" s="8" t="s">
        <v>29</v>
      </c>
      <c r="H32" s="8"/>
    </row>
    <row r="33">
      <c r="A33" s="6">
        <v>46233.0</v>
      </c>
      <c r="B33" s="8" t="s">
        <v>84</v>
      </c>
      <c r="C33" s="8"/>
      <c r="D33" s="10">
        <v>6.5</v>
      </c>
      <c r="E33" s="8" t="s">
        <v>85</v>
      </c>
      <c r="F33" s="8" t="s">
        <v>13</v>
      </c>
      <c r="G33" s="8" t="s">
        <v>26</v>
      </c>
      <c r="H33" s="8"/>
    </row>
    <row r="34">
      <c r="A34" s="6">
        <v>46233.0</v>
      </c>
      <c r="B34" s="8" t="s">
        <v>86</v>
      </c>
      <c r="C34" s="8"/>
      <c r="D34" s="10">
        <v>125.19</v>
      </c>
      <c r="E34" s="8" t="s">
        <v>68</v>
      </c>
      <c r="F34" s="8" t="s">
        <v>20</v>
      </c>
      <c r="G34" s="8" t="s">
        <v>26</v>
      </c>
      <c r="H34" s="8"/>
    </row>
    <row r="35">
      <c r="A35" s="6">
        <v>46232.0</v>
      </c>
      <c r="B35" s="8" t="s">
        <v>30</v>
      </c>
      <c r="C35" s="16" t="s">
        <v>87</v>
      </c>
      <c r="D35" s="10">
        <v>13.48</v>
      </c>
      <c r="E35" s="8" t="s">
        <v>32</v>
      </c>
      <c r="F35" s="8" t="s">
        <v>20</v>
      </c>
      <c r="G35" s="16" t="s">
        <v>26</v>
      </c>
      <c r="H35" s="16" t="s">
        <v>33</v>
      </c>
    </row>
    <row r="36">
      <c r="A36" s="6">
        <v>46232.0</v>
      </c>
      <c r="B36" s="8" t="s">
        <v>88</v>
      </c>
      <c r="C36" s="8"/>
      <c r="D36" s="10">
        <v>0.86</v>
      </c>
      <c r="E36" s="8" t="s">
        <v>19</v>
      </c>
      <c r="F36" s="8" t="s">
        <v>20</v>
      </c>
      <c r="G36" s="16" t="s">
        <v>21</v>
      </c>
      <c r="H36" s="16" t="s">
        <v>22</v>
      </c>
    </row>
    <row r="37">
      <c r="A37" s="6">
        <v>46232.0</v>
      </c>
      <c r="B37" s="8" t="s">
        <v>89</v>
      </c>
      <c r="C37" s="8"/>
      <c r="D37" s="10">
        <v>29.76</v>
      </c>
      <c r="E37" s="8" t="s">
        <v>38</v>
      </c>
      <c r="F37" s="8" t="s">
        <v>20</v>
      </c>
      <c r="G37" s="8" t="s">
        <v>26</v>
      </c>
      <c r="H37" s="8"/>
    </row>
    <row r="38">
      <c r="A38" s="6">
        <v>46231.0</v>
      </c>
      <c r="B38" s="8" t="s">
        <v>30</v>
      </c>
      <c r="C38" s="27" t="s">
        <v>91</v>
      </c>
      <c r="D38" s="10">
        <v>14.99</v>
      </c>
      <c r="E38" s="8" t="s">
        <v>32</v>
      </c>
      <c r="F38" s="8" t="s">
        <v>20</v>
      </c>
      <c r="G38" s="16" t="s">
        <v>29</v>
      </c>
      <c r="H38" s="16" t="s">
        <v>33</v>
      </c>
    </row>
    <row r="39">
      <c r="A39" s="6">
        <v>46231.0</v>
      </c>
      <c r="B39" s="8" t="s">
        <v>30</v>
      </c>
      <c r="C39" s="27" t="s">
        <v>92</v>
      </c>
      <c r="D39" s="10">
        <v>24.95</v>
      </c>
      <c r="E39" s="8" t="s">
        <v>32</v>
      </c>
      <c r="F39" s="8" t="s">
        <v>20</v>
      </c>
      <c r="G39" s="16" t="s">
        <v>26</v>
      </c>
      <c r="H39" s="16" t="s">
        <v>33</v>
      </c>
    </row>
    <row r="40">
      <c r="A40" s="6">
        <v>46231.0</v>
      </c>
      <c r="B40" s="8" t="s">
        <v>49</v>
      </c>
      <c r="C40" s="8"/>
      <c r="D40" s="10">
        <v>271.85</v>
      </c>
      <c r="E40" s="8" t="s">
        <v>50</v>
      </c>
      <c r="F40" s="8" t="s">
        <v>20</v>
      </c>
      <c r="G40" s="8" t="s">
        <v>14</v>
      </c>
      <c r="H40" s="8"/>
    </row>
    <row r="41">
      <c r="A41" s="6">
        <v>46231.0</v>
      </c>
      <c r="B41" s="8" t="s">
        <v>93</v>
      </c>
      <c r="C41" s="8"/>
      <c r="D41" s="10">
        <v>4.3</v>
      </c>
      <c r="E41" s="8" t="s">
        <v>94</v>
      </c>
      <c r="F41" s="8" t="s">
        <v>13</v>
      </c>
      <c r="G41" s="8" t="s">
        <v>26</v>
      </c>
      <c r="H41" s="8"/>
    </row>
    <row r="42">
      <c r="A42" s="6">
        <v>46231.0</v>
      </c>
      <c r="B42" s="8" t="s">
        <v>93</v>
      </c>
      <c r="C42" s="8"/>
      <c r="D42" s="10">
        <v>4.3</v>
      </c>
      <c r="E42" s="8" t="s">
        <v>94</v>
      </c>
      <c r="F42" s="8" t="s">
        <v>13</v>
      </c>
      <c r="G42" s="8" t="s">
        <v>26</v>
      </c>
      <c r="H42" s="8"/>
    </row>
    <row r="43">
      <c r="A43" s="6">
        <v>46231.0</v>
      </c>
      <c r="B43" s="8" t="s">
        <v>96</v>
      </c>
      <c r="C43" s="8"/>
      <c r="D43" s="10">
        <v>13.86</v>
      </c>
      <c r="E43" s="8" t="s">
        <v>97</v>
      </c>
      <c r="F43" s="8" t="s">
        <v>13</v>
      </c>
      <c r="G43" s="8" t="s">
        <v>26</v>
      </c>
      <c r="H43" s="8"/>
    </row>
    <row r="44">
      <c r="A44" s="6">
        <v>46230.0</v>
      </c>
      <c r="B44" s="8" t="s">
        <v>98</v>
      </c>
      <c r="C44" s="8"/>
      <c r="D44" s="10">
        <v>194.32</v>
      </c>
      <c r="E44" s="8" t="s">
        <v>99</v>
      </c>
      <c r="F44" s="8" t="s">
        <v>20</v>
      </c>
      <c r="G44" s="8" t="s">
        <v>14</v>
      </c>
      <c r="H44" s="8"/>
    </row>
    <row r="45">
      <c r="A45" s="6">
        <v>46230.0</v>
      </c>
      <c r="B45" s="8" t="s">
        <v>100</v>
      </c>
      <c r="C45" s="8"/>
      <c r="D45" s="10">
        <v>5.06</v>
      </c>
      <c r="E45" s="8" t="s">
        <v>19</v>
      </c>
      <c r="F45" s="8" t="s">
        <v>20</v>
      </c>
      <c r="G45" s="16" t="s">
        <v>21</v>
      </c>
      <c r="H45" s="16" t="s">
        <v>22</v>
      </c>
    </row>
    <row r="46">
      <c r="A46" s="6">
        <v>46230.0</v>
      </c>
      <c r="B46" s="8" t="s">
        <v>101</v>
      </c>
      <c r="C46" s="16" t="s">
        <v>102</v>
      </c>
      <c r="D46" s="10">
        <v>174.03</v>
      </c>
      <c r="E46" s="16" t="s">
        <v>103</v>
      </c>
      <c r="F46" s="16" t="s">
        <v>13</v>
      </c>
      <c r="G46" s="16" t="s">
        <v>29</v>
      </c>
      <c r="H46" s="8"/>
    </row>
    <row r="47">
      <c r="A47" s="6">
        <v>46230.0</v>
      </c>
      <c r="B47" s="8" t="s">
        <v>104</v>
      </c>
      <c r="C47" s="8"/>
      <c r="D47" s="10">
        <v>2.27</v>
      </c>
      <c r="E47" s="8" t="s">
        <v>19</v>
      </c>
      <c r="F47" s="8" t="s">
        <v>20</v>
      </c>
      <c r="G47" s="16" t="s">
        <v>21</v>
      </c>
      <c r="H47" s="16" t="s">
        <v>22</v>
      </c>
    </row>
    <row r="48">
      <c r="A48" s="6">
        <v>46230.0</v>
      </c>
      <c r="B48" s="8" t="s">
        <v>105</v>
      </c>
      <c r="C48" s="8"/>
      <c r="D48" s="10">
        <v>78.13</v>
      </c>
      <c r="E48" s="8" t="s">
        <v>106</v>
      </c>
      <c r="F48" s="8" t="s">
        <v>13</v>
      </c>
      <c r="G48" s="8" t="s">
        <v>26</v>
      </c>
      <c r="H48" s="8"/>
    </row>
    <row r="49">
      <c r="A49" s="6">
        <v>46230.0</v>
      </c>
      <c r="B49" s="8" t="s">
        <v>107</v>
      </c>
      <c r="C49" s="8"/>
      <c r="D49" s="10">
        <v>82.9</v>
      </c>
      <c r="E49" s="8" t="s">
        <v>108</v>
      </c>
      <c r="F49" s="8" t="s">
        <v>20</v>
      </c>
      <c r="G49" s="8" t="s">
        <v>29</v>
      </c>
      <c r="H49" s="8"/>
    </row>
    <row r="50">
      <c r="A50" s="6">
        <v>46229.0</v>
      </c>
      <c r="B50" s="8" t="s">
        <v>30</v>
      </c>
      <c r="C50" s="16" t="s">
        <v>109</v>
      </c>
      <c r="D50" s="10">
        <v>12.99</v>
      </c>
      <c r="E50" s="8" t="s">
        <v>32</v>
      </c>
      <c r="F50" s="8" t="s">
        <v>20</v>
      </c>
      <c r="G50" s="16" t="s">
        <v>26</v>
      </c>
      <c r="H50" s="16" t="s">
        <v>33</v>
      </c>
    </row>
    <row r="51">
      <c r="A51" s="6">
        <v>46229.0</v>
      </c>
      <c r="B51" s="8" t="s">
        <v>66</v>
      </c>
      <c r="C51" s="8"/>
      <c r="D51" s="10">
        <v>16.78</v>
      </c>
      <c r="E51" s="8" t="s">
        <v>68</v>
      </c>
      <c r="F51" s="8" t="s">
        <v>20</v>
      </c>
      <c r="G51" s="8" t="s">
        <v>26</v>
      </c>
      <c r="H51" s="8"/>
    </row>
    <row r="52">
      <c r="A52" s="6">
        <v>46228.0</v>
      </c>
      <c r="B52" s="8" t="s">
        <v>40</v>
      </c>
      <c r="C52" s="16" t="s">
        <v>111</v>
      </c>
      <c r="D52" s="10">
        <v>37.41</v>
      </c>
      <c r="E52" s="16" t="s">
        <v>64</v>
      </c>
      <c r="F52" s="16" t="s">
        <v>13</v>
      </c>
      <c r="G52" s="16" t="s">
        <v>14</v>
      </c>
      <c r="H52" s="16"/>
    </row>
    <row r="53">
      <c r="A53" s="6">
        <v>46228.0</v>
      </c>
      <c r="B53" s="8" t="s">
        <v>30</v>
      </c>
      <c r="C53" s="27" t="s">
        <v>91</v>
      </c>
      <c r="D53" s="10">
        <v>14.99</v>
      </c>
      <c r="E53" s="8" t="s">
        <v>32</v>
      </c>
      <c r="F53" s="8" t="s">
        <v>20</v>
      </c>
      <c r="G53" s="16" t="s">
        <v>29</v>
      </c>
      <c r="H53" s="16" t="s">
        <v>33</v>
      </c>
    </row>
    <row r="54">
      <c r="A54" s="6">
        <v>46228.0</v>
      </c>
      <c r="B54" s="8" t="s">
        <v>66</v>
      </c>
      <c r="C54" s="8"/>
      <c r="D54" s="10">
        <v>45.92</v>
      </c>
      <c r="E54" s="8" t="s">
        <v>68</v>
      </c>
      <c r="F54" s="8" t="s">
        <v>20</v>
      </c>
      <c r="G54" s="8" t="s">
        <v>26</v>
      </c>
      <c r="H54" s="8"/>
    </row>
    <row r="55">
      <c r="A55" s="6">
        <v>46228.0</v>
      </c>
      <c r="B55" s="8" t="s">
        <v>112</v>
      </c>
      <c r="C55" s="8"/>
      <c r="D55" s="10">
        <v>17.99</v>
      </c>
      <c r="E55" s="8" t="s">
        <v>113</v>
      </c>
      <c r="F55" s="8" t="s">
        <v>20</v>
      </c>
      <c r="G55" s="8" t="s">
        <v>26</v>
      </c>
      <c r="H55" s="8"/>
    </row>
    <row r="56">
      <c r="A56" s="6">
        <v>46228.0</v>
      </c>
      <c r="B56" s="8" t="s">
        <v>47</v>
      </c>
      <c r="C56" s="8"/>
      <c r="D56" s="10">
        <v>20.2</v>
      </c>
      <c r="E56" s="8" t="s">
        <v>48</v>
      </c>
      <c r="F56" s="8" t="s">
        <v>20</v>
      </c>
      <c r="G56" s="8" t="s">
        <v>26</v>
      </c>
      <c r="H56" s="8"/>
    </row>
    <row r="57">
      <c r="A57" s="6">
        <v>46228.0</v>
      </c>
      <c r="B57" s="8" t="s">
        <v>114</v>
      </c>
      <c r="C57" s="8"/>
      <c r="D57" s="10">
        <v>261.53</v>
      </c>
      <c r="E57" s="8" t="s">
        <v>115</v>
      </c>
      <c r="F57" s="8" t="s">
        <v>13</v>
      </c>
      <c r="G57" s="8" t="s">
        <v>29</v>
      </c>
      <c r="H57" s="8"/>
    </row>
    <row r="58">
      <c r="A58" s="6">
        <v>46228.0</v>
      </c>
      <c r="B58" s="8" t="s">
        <v>116</v>
      </c>
      <c r="C58" s="8"/>
      <c r="D58" s="10">
        <v>109.97</v>
      </c>
      <c r="E58" s="8" t="s">
        <v>115</v>
      </c>
      <c r="F58" s="8" t="s">
        <v>13</v>
      </c>
      <c r="G58" s="8" t="s">
        <v>29</v>
      </c>
      <c r="H58" s="8"/>
    </row>
    <row r="59">
      <c r="A59" s="6">
        <v>46227.0</v>
      </c>
      <c r="B59" s="8" t="s">
        <v>118</v>
      </c>
      <c r="C59" s="8"/>
      <c r="D59" s="10">
        <v>68.95</v>
      </c>
      <c r="E59" s="8" t="s">
        <v>115</v>
      </c>
      <c r="F59" s="8" t="s">
        <v>13</v>
      </c>
      <c r="G59" s="8" t="s">
        <v>29</v>
      </c>
      <c r="H59" s="8"/>
    </row>
    <row r="60">
      <c r="A60" s="6">
        <v>46226.0</v>
      </c>
      <c r="B60" s="8" t="s">
        <v>119</v>
      </c>
      <c r="C60" s="8"/>
      <c r="D60" s="10">
        <v>422.12</v>
      </c>
      <c r="E60" s="8" t="s">
        <v>120</v>
      </c>
      <c r="F60" s="8" t="s">
        <v>13</v>
      </c>
      <c r="G60" s="8" t="s">
        <v>14</v>
      </c>
      <c r="H60" s="8"/>
    </row>
    <row r="61">
      <c r="A61" s="6">
        <v>46225.0</v>
      </c>
      <c r="B61" s="8" t="s">
        <v>30</v>
      </c>
      <c r="C61" s="27" t="s">
        <v>121</v>
      </c>
      <c r="D61" s="10">
        <v>8.49</v>
      </c>
      <c r="E61" s="8" t="s">
        <v>32</v>
      </c>
      <c r="F61" s="8" t="s">
        <v>20</v>
      </c>
      <c r="G61" s="16" t="s">
        <v>29</v>
      </c>
      <c r="H61" s="16" t="s">
        <v>33</v>
      </c>
    </row>
    <row r="62">
      <c r="A62" s="6">
        <v>46225.0</v>
      </c>
      <c r="B62" s="8" t="s">
        <v>40</v>
      </c>
      <c r="C62" s="16" t="s">
        <v>41</v>
      </c>
      <c r="D62" s="10">
        <v>55.12</v>
      </c>
      <c r="E62" s="16" t="s">
        <v>42</v>
      </c>
      <c r="F62" s="16" t="s">
        <v>13</v>
      </c>
      <c r="G62" s="16" t="s">
        <v>26</v>
      </c>
      <c r="H62" s="16"/>
    </row>
    <row r="63">
      <c r="A63" s="6">
        <v>46224.0</v>
      </c>
      <c r="B63" s="8" t="s">
        <v>40</v>
      </c>
      <c r="C63" s="67" t="s">
        <v>123</v>
      </c>
      <c r="D63" s="10">
        <v>44.81</v>
      </c>
      <c r="E63" s="16" t="s">
        <v>64</v>
      </c>
      <c r="F63" s="16" t="s">
        <v>13</v>
      </c>
      <c r="G63" s="16" t="s">
        <v>26</v>
      </c>
      <c r="H63" s="16" t="s">
        <v>33</v>
      </c>
    </row>
    <row r="64">
      <c r="A64" s="6">
        <v>46224.0</v>
      </c>
      <c r="B64" s="8" t="s">
        <v>49</v>
      </c>
      <c r="C64" s="8"/>
      <c r="D64" s="10">
        <v>272.05</v>
      </c>
      <c r="E64" s="8" t="s">
        <v>50</v>
      </c>
      <c r="F64" s="8" t="s">
        <v>20</v>
      </c>
      <c r="G64" s="8" t="s">
        <v>14</v>
      </c>
      <c r="H64" s="8"/>
    </row>
    <row r="65">
      <c r="A65" s="6">
        <v>46224.0</v>
      </c>
      <c r="B65" s="8" t="s">
        <v>49</v>
      </c>
      <c r="C65" s="8"/>
      <c r="D65" s="10">
        <v>375.27</v>
      </c>
      <c r="E65" s="8" t="s">
        <v>50</v>
      </c>
      <c r="F65" s="8" t="s">
        <v>20</v>
      </c>
      <c r="G65" s="8" t="s">
        <v>14</v>
      </c>
      <c r="H65" s="8"/>
    </row>
    <row r="66">
      <c r="A66" s="6">
        <v>46223.0</v>
      </c>
      <c r="B66" s="8" t="s">
        <v>55</v>
      </c>
      <c r="D66" s="10">
        <v>44.39</v>
      </c>
      <c r="E66" s="16" t="s">
        <v>64</v>
      </c>
      <c r="F66" s="16" t="s">
        <v>13</v>
      </c>
      <c r="G66" s="16" t="s">
        <v>26</v>
      </c>
      <c r="H66" s="16" t="s">
        <v>33</v>
      </c>
    </row>
    <row r="67">
      <c r="A67" s="6">
        <v>46223.0</v>
      </c>
      <c r="B67" s="8" t="s">
        <v>131</v>
      </c>
      <c r="C67" s="8"/>
      <c r="D67" s="10">
        <v>238.89</v>
      </c>
      <c r="E67" s="8" t="s">
        <v>132</v>
      </c>
      <c r="F67" s="8" t="s">
        <v>13</v>
      </c>
      <c r="G67" s="8" t="s">
        <v>14</v>
      </c>
      <c r="H67" s="8"/>
    </row>
    <row r="68">
      <c r="A68" s="6">
        <v>46222.0</v>
      </c>
      <c r="B68" s="8" t="s">
        <v>133</v>
      </c>
      <c r="C68" s="8"/>
      <c r="D68" s="10">
        <v>400.45</v>
      </c>
      <c r="E68" s="8" t="s">
        <v>134</v>
      </c>
      <c r="F68" s="8" t="s">
        <v>20</v>
      </c>
      <c r="G68" s="8" t="s">
        <v>14</v>
      </c>
      <c r="H68" s="8"/>
    </row>
    <row r="69">
      <c r="A69" s="6">
        <v>46222.0</v>
      </c>
      <c r="B69" s="8" t="s">
        <v>135</v>
      </c>
      <c r="C69" s="8"/>
      <c r="D69" s="10">
        <v>223.95</v>
      </c>
      <c r="E69" s="8" t="s">
        <v>136</v>
      </c>
      <c r="F69" s="8" t="s">
        <v>20</v>
      </c>
      <c r="G69" s="8" t="s">
        <v>14</v>
      </c>
      <c r="H69" s="8"/>
    </row>
    <row r="70">
      <c r="A70" s="6">
        <v>46222.0</v>
      </c>
      <c r="B70" s="8" t="s">
        <v>40</v>
      </c>
      <c r="C70" s="16" t="s">
        <v>63</v>
      </c>
      <c r="D70" s="10">
        <v>67.5</v>
      </c>
      <c r="E70" s="16" t="s">
        <v>64</v>
      </c>
      <c r="F70" s="16" t="s">
        <v>13</v>
      </c>
      <c r="G70" s="16" t="s">
        <v>26</v>
      </c>
      <c r="H70" s="16" t="s">
        <v>65</v>
      </c>
    </row>
    <row r="71">
      <c r="A71" s="6">
        <v>46222.0</v>
      </c>
      <c r="B71" s="8" t="s">
        <v>66</v>
      </c>
      <c r="C71" s="8"/>
      <c r="D71" s="10">
        <v>100.98</v>
      </c>
      <c r="E71" s="8" t="s">
        <v>68</v>
      </c>
      <c r="F71" s="8" t="s">
        <v>20</v>
      </c>
      <c r="G71" s="8" t="s">
        <v>26</v>
      </c>
      <c r="H71" s="8"/>
    </row>
    <row r="72">
      <c r="A72" s="6">
        <v>46222.0</v>
      </c>
      <c r="B72" s="8" t="s">
        <v>34</v>
      </c>
      <c r="C72" s="8"/>
      <c r="D72" s="10">
        <v>9.99</v>
      </c>
      <c r="E72" s="8" t="s">
        <v>35</v>
      </c>
      <c r="F72" s="8" t="s">
        <v>20</v>
      </c>
      <c r="G72" s="8" t="s">
        <v>29</v>
      </c>
      <c r="H72" s="8"/>
    </row>
    <row r="73">
      <c r="A73" s="6">
        <v>46221.0</v>
      </c>
      <c r="B73" s="8" t="s">
        <v>139</v>
      </c>
      <c r="C73" s="16" t="s">
        <v>140</v>
      </c>
      <c r="D73" s="10">
        <v>20.27</v>
      </c>
      <c r="E73" s="16" t="s">
        <v>141</v>
      </c>
      <c r="F73" s="16" t="s">
        <v>13</v>
      </c>
      <c r="G73" s="16" t="s">
        <v>29</v>
      </c>
      <c r="H73" s="16"/>
    </row>
    <row r="74">
      <c r="A74" s="6">
        <v>46221.0</v>
      </c>
      <c r="B74" s="8" t="s">
        <v>142</v>
      </c>
      <c r="C74" s="8"/>
      <c r="D74" s="10">
        <v>0.0</v>
      </c>
      <c r="E74" s="8" t="s">
        <v>143</v>
      </c>
      <c r="F74" s="8"/>
      <c r="G74" s="8" t="s">
        <v>144</v>
      </c>
      <c r="H74" s="8" t="s">
        <v>145</v>
      </c>
    </row>
    <row r="75">
      <c r="A75" s="6">
        <v>46220.0</v>
      </c>
      <c r="B75" s="8" t="s">
        <v>146</v>
      </c>
      <c r="C75" s="8"/>
      <c r="D75" s="10">
        <v>62.06</v>
      </c>
      <c r="E75" s="8" t="s">
        <v>147</v>
      </c>
      <c r="F75" s="8" t="s">
        <v>20</v>
      </c>
      <c r="G75" s="8" t="s">
        <v>14</v>
      </c>
      <c r="H75" s="8"/>
    </row>
    <row r="76">
      <c r="A76" s="6">
        <v>46219.0</v>
      </c>
      <c r="B76" s="8" t="s">
        <v>148</v>
      </c>
      <c r="C76" s="8"/>
      <c r="D76" s="10">
        <v>0.56</v>
      </c>
      <c r="E76" s="8" t="s">
        <v>19</v>
      </c>
      <c r="F76" s="8" t="s">
        <v>20</v>
      </c>
      <c r="G76" s="16" t="s">
        <v>21</v>
      </c>
      <c r="H76" s="16" t="s">
        <v>22</v>
      </c>
    </row>
    <row r="77">
      <c r="A77" s="6">
        <v>46219.0</v>
      </c>
      <c r="B77" s="8" t="s">
        <v>149</v>
      </c>
      <c r="C77" s="8"/>
      <c r="D77" s="10">
        <v>19.55</v>
      </c>
      <c r="E77" s="8" t="s">
        <v>150</v>
      </c>
      <c r="F77" s="8" t="s">
        <v>20</v>
      </c>
      <c r="G77" s="8" t="s">
        <v>26</v>
      </c>
      <c r="H77" s="8"/>
    </row>
    <row r="78">
      <c r="A78" s="6">
        <v>46219.0</v>
      </c>
      <c r="B78" s="8" t="s">
        <v>152</v>
      </c>
      <c r="C78" s="8"/>
      <c r="D78" s="10">
        <v>494.62</v>
      </c>
      <c r="E78" s="8" t="s">
        <v>154</v>
      </c>
      <c r="F78" s="8" t="s">
        <v>20</v>
      </c>
      <c r="G78" s="8" t="s">
        <v>29</v>
      </c>
      <c r="H78" s="8"/>
    </row>
    <row r="79">
      <c r="A79" s="6">
        <v>46219.0</v>
      </c>
      <c r="B79" s="8" t="s">
        <v>157</v>
      </c>
      <c r="C79" s="8"/>
      <c r="D79" s="10">
        <v>23.99</v>
      </c>
      <c r="E79" s="8" t="s">
        <v>158</v>
      </c>
      <c r="F79" s="8" t="s">
        <v>13</v>
      </c>
      <c r="G79" s="8" t="s">
        <v>26</v>
      </c>
      <c r="H79" s="8"/>
    </row>
    <row r="80">
      <c r="A80" s="6">
        <v>46219.0</v>
      </c>
      <c r="B80" s="8" t="s">
        <v>159</v>
      </c>
      <c r="C80" s="8"/>
      <c r="D80" s="10">
        <v>24.99</v>
      </c>
      <c r="E80" s="8" t="s">
        <v>160</v>
      </c>
      <c r="F80" s="8" t="s">
        <v>13</v>
      </c>
      <c r="G80" s="8" t="s">
        <v>26</v>
      </c>
      <c r="H80" s="8"/>
    </row>
    <row r="81">
      <c r="A81" s="6">
        <v>46219.0</v>
      </c>
      <c r="B81" s="8" t="s">
        <v>161</v>
      </c>
      <c r="C81" s="8"/>
      <c r="D81" s="10">
        <v>451.9</v>
      </c>
      <c r="E81" s="8" t="s">
        <v>162</v>
      </c>
      <c r="F81" s="8" t="s">
        <v>20</v>
      </c>
      <c r="G81" s="8" t="s">
        <v>29</v>
      </c>
      <c r="H81" s="8"/>
    </row>
    <row r="82">
      <c r="A82" s="6">
        <v>46219.0</v>
      </c>
      <c r="B82" s="8" t="s">
        <v>164</v>
      </c>
      <c r="C82" s="8"/>
      <c r="D82" s="10">
        <v>505.83</v>
      </c>
      <c r="E82" s="8" t="s">
        <v>154</v>
      </c>
      <c r="F82" s="8" t="s">
        <v>20</v>
      </c>
      <c r="G82" s="8" t="s">
        <v>29</v>
      </c>
      <c r="H82" s="8"/>
    </row>
    <row r="83">
      <c r="A83" s="6">
        <v>46218.0</v>
      </c>
      <c r="B83" s="8" t="s">
        <v>30</v>
      </c>
      <c r="C83" s="16" t="s">
        <v>165</v>
      </c>
      <c r="D83" s="10">
        <v>38.97</v>
      </c>
      <c r="E83" s="8" t="s">
        <v>32</v>
      </c>
      <c r="F83" s="8" t="s">
        <v>20</v>
      </c>
      <c r="G83" s="16" t="s">
        <v>26</v>
      </c>
      <c r="H83" s="16" t="s">
        <v>33</v>
      </c>
    </row>
    <row r="84">
      <c r="A84" s="6">
        <v>46218.0</v>
      </c>
      <c r="B84" s="8" t="s">
        <v>167</v>
      </c>
      <c r="C84" s="8"/>
      <c r="D84" s="10">
        <v>0.3</v>
      </c>
      <c r="E84" s="8" t="s">
        <v>19</v>
      </c>
      <c r="F84" s="8" t="s">
        <v>20</v>
      </c>
      <c r="G84" s="16" t="s">
        <v>21</v>
      </c>
      <c r="H84" s="16" t="s">
        <v>22</v>
      </c>
    </row>
    <row r="85">
      <c r="A85" s="6">
        <v>46218.0</v>
      </c>
      <c r="B85" s="8" t="s">
        <v>168</v>
      </c>
      <c r="C85" s="8"/>
      <c r="D85" s="10">
        <v>10.43</v>
      </c>
      <c r="E85" s="8" t="s">
        <v>169</v>
      </c>
      <c r="F85" s="8" t="s">
        <v>20</v>
      </c>
      <c r="G85" s="8" t="s">
        <v>26</v>
      </c>
      <c r="H85" s="8"/>
    </row>
    <row r="86">
      <c r="A86" s="6">
        <v>46217.0</v>
      </c>
      <c r="B86" s="8" t="s">
        <v>170</v>
      </c>
      <c r="C86" s="8"/>
      <c r="D86" s="10">
        <v>20.99</v>
      </c>
      <c r="E86" s="8" t="s">
        <v>172</v>
      </c>
      <c r="F86" s="8" t="s">
        <v>20</v>
      </c>
      <c r="G86" s="8" t="s">
        <v>14</v>
      </c>
      <c r="H86" s="8"/>
    </row>
    <row r="87">
      <c r="A87" s="6">
        <v>46217.0</v>
      </c>
      <c r="B87" s="8" t="s">
        <v>174</v>
      </c>
      <c r="C87" s="8"/>
      <c r="D87" s="10">
        <v>140.0</v>
      </c>
      <c r="E87" s="8" t="s">
        <v>175</v>
      </c>
      <c r="F87" s="8" t="s">
        <v>13</v>
      </c>
      <c r="G87" s="8" t="s">
        <v>26</v>
      </c>
      <c r="H87" s="8"/>
    </row>
    <row r="88">
      <c r="A88" s="6">
        <v>46217.0</v>
      </c>
      <c r="B88" s="8" t="s">
        <v>176</v>
      </c>
      <c r="C88" s="8"/>
      <c r="D88" s="10">
        <v>20.99</v>
      </c>
      <c r="E88" s="8" t="s">
        <v>177</v>
      </c>
      <c r="F88" s="8" t="s">
        <v>20</v>
      </c>
      <c r="G88" s="8" t="s">
        <v>26</v>
      </c>
      <c r="H88" s="8"/>
    </row>
    <row r="89">
      <c r="A89" s="6">
        <v>46217.0</v>
      </c>
      <c r="B89" s="8" t="s">
        <v>178</v>
      </c>
      <c r="C89" s="8"/>
      <c r="D89" s="10">
        <v>2.99</v>
      </c>
      <c r="E89" s="8" t="s">
        <v>179</v>
      </c>
      <c r="F89" s="8" t="s">
        <v>20</v>
      </c>
      <c r="G89" s="8" t="s">
        <v>29</v>
      </c>
      <c r="H89" s="8"/>
    </row>
    <row r="90">
      <c r="A90" s="6">
        <v>46216.0</v>
      </c>
      <c r="B90" s="8" t="s">
        <v>180</v>
      </c>
      <c r="C90" s="8"/>
      <c r="D90" s="10">
        <v>13.99</v>
      </c>
      <c r="E90" s="8" t="s">
        <v>181</v>
      </c>
      <c r="F90" s="8" t="s">
        <v>20</v>
      </c>
      <c r="G90" s="8" t="s">
        <v>14</v>
      </c>
      <c r="H90" s="8"/>
    </row>
    <row r="91">
      <c r="A91" s="6">
        <v>46215.0</v>
      </c>
      <c r="B91" s="8" t="s">
        <v>182</v>
      </c>
      <c r="C91" s="8"/>
      <c r="D91" s="10">
        <v>99.9</v>
      </c>
      <c r="E91" s="8" t="s">
        <v>162</v>
      </c>
      <c r="F91" s="8" t="s">
        <v>20</v>
      </c>
      <c r="G91" s="8" t="s">
        <v>29</v>
      </c>
      <c r="H91" s="8"/>
    </row>
    <row r="92">
      <c r="A92" s="6">
        <v>46214.0</v>
      </c>
      <c r="B92" s="8" t="s">
        <v>40</v>
      </c>
      <c r="C92" s="16" t="s">
        <v>111</v>
      </c>
      <c r="D92" s="10">
        <v>37.41</v>
      </c>
      <c r="E92" s="16" t="s">
        <v>64</v>
      </c>
      <c r="F92" s="16" t="s">
        <v>13</v>
      </c>
      <c r="G92" s="16" t="s">
        <v>14</v>
      </c>
      <c r="H92" s="16"/>
    </row>
    <row r="93">
      <c r="A93" s="6">
        <v>46214.0</v>
      </c>
      <c r="B93" s="8" t="s">
        <v>66</v>
      </c>
      <c r="C93" s="8"/>
      <c r="D93" s="10">
        <v>36.08</v>
      </c>
      <c r="E93" s="8" t="s">
        <v>68</v>
      </c>
      <c r="F93" s="8" t="s">
        <v>20</v>
      </c>
      <c r="G93" s="8" t="s">
        <v>26</v>
      </c>
      <c r="H93" s="8"/>
    </row>
    <row r="94">
      <c r="A94" s="6">
        <v>46214.0</v>
      </c>
      <c r="B94" s="8" t="s">
        <v>47</v>
      </c>
      <c r="C94" s="8"/>
      <c r="D94" s="10">
        <v>20.2</v>
      </c>
      <c r="E94" s="8" t="s">
        <v>48</v>
      </c>
      <c r="F94" s="8" t="s">
        <v>20</v>
      </c>
      <c r="G94" s="8" t="s">
        <v>26</v>
      </c>
      <c r="H94" s="8"/>
    </row>
    <row r="95">
      <c r="A95" s="6">
        <v>46213.0</v>
      </c>
      <c r="B95" s="8" t="s">
        <v>34</v>
      </c>
      <c r="C95" s="8"/>
      <c r="D95" s="10">
        <v>26.44</v>
      </c>
      <c r="E95" s="8" t="s">
        <v>35</v>
      </c>
      <c r="F95" s="8" t="s">
        <v>20</v>
      </c>
      <c r="G95" s="8" t="s">
        <v>29</v>
      </c>
      <c r="H95" s="8"/>
    </row>
    <row r="96">
      <c r="A96" s="6">
        <v>46213.0</v>
      </c>
      <c r="B96" s="8" t="s">
        <v>47</v>
      </c>
      <c r="C96" s="8"/>
      <c r="D96" s="10">
        <v>20.2</v>
      </c>
      <c r="E96" s="8" t="s">
        <v>48</v>
      </c>
      <c r="F96" s="8" t="s">
        <v>20</v>
      </c>
      <c r="G96" s="8" t="s">
        <v>26</v>
      </c>
      <c r="H96" s="8"/>
    </row>
    <row r="97">
      <c r="A97" s="6">
        <v>46213.0</v>
      </c>
      <c r="B97" s="8" t="s">
        <v>187</v>
      </c>
      <c r="C97" s="8"/>
      <c r="D97" s="10">
        <v>19.0</v>
      </c>
      <c r="E97" s="8" t="s">
        <v>188</v>
      </c>
      <c r="F97" s="8" t="s">
        <v>20</v>
      </c>
      <c r="G97" s="8" t="s">
        <v>26</v>
      </c>
      <c r="H97" s="8"/>
    </row>
    <row r="98">
      <c r="A98" s="6">
        <v>46212.0</v>
      </c>
      <c r="B98" s="8" t="s">
        <v>30</v>
      </c>
      <c r="C98" s="27" t="s">
        <v>190</v>
      </c>
      <c r="D98" s="10">
        <v>19.0</v>
      </c>
      <c r="E98" s="8" t="s">
        <v>32</v>
      </c>
      <c r="F98" s="8" t="s">
        <v>20</v>
      </c>
      <c r="G98" s="16" t="s">
        <v>26</v>
      </c>
      <c r="H98" s="16" t="s">
        <v>33</v>
      </c>
    </row>
    <row r="99">
      <c r="A99" s="6">
        <v>46212.0</v>
      </c>
      <c r="B99" s="8" t="s">
        <v>192</v>
      </c>
      <c r="C99" s="8"/>
      <c r="D99" s="10">
        <v>4.0</v>
      </c>
      <c r="E99" s="8" t="s">
        <v>193</v>
      </c>
      <c r="F99" s="8" t="s">
        <v>13</v>
      </c>
      <c r="G99" s="8" t="s">
        <v>26</v>
      </c>
      <c r="H99" s="8"/>
    </row>
    <row r="100">
      <c r="A100" s="6">
        <v>46212.0</v>
      </c>
      <c r="B100" s="8" t="s">
        <v>47</v>
      </c>
      <c r="C100" s="8"/>
      <c r="D100" s="10">
        <v>20.2</v>
      </c>
      <c r="E100" s="8" t="s">
        <v>48</v>
      </c>
      <c r="F100" s="8" t="s">
        <v>20</v>
      </c>
      <c r="G100" s="8" t="s">
        <v>26</v>
      </c>
      <c r="H100" s="8"/>
    </row>
    <row r="101">
      <c r="A101" s="6">
        <v>46211.0</v>
      </c>
      <c r="B101" s="8" t="s">
        <v>40</v>
      </c>
      <c r="C101" s="16" t="s">
        <v>41</v>
      </c>
      <c r="D101" s="10">
        <v>55.12</v>
      </c>
      <c r="E101" s="16" t="s">
        <v>42</v>
      </c>
      <c r="F101" s="16" t="s">
        <v>13</v>
      </c>
      <c r="G101" s="16" t="s">
        <v>26</v>
      </c>
      <c r="H101" s="16"/>
    </row>
    <row r="102">
      <c r="A102" s="6">
        <v>46211.0</v>
      </c>
      <c r="B102" s="8" t="s">
        <v>198</v>
      </c>
      <c r="C102" s="8"/>
      <c r="D102" s="10">
        <v>0.0</v>
      </c>
      <c r="E102" s="8" t="s">
        <v>143</v>
      </c>
      <c r="F102" s="8"/>
      <c r="G102" s="8" t="s">
        <v>144</v>
      </c>
      <c r="H102" s="8" t="s">
        <v>145</v>
      </c>
    </row>
    <row r="103">
      <c r="A103" s="6">
        <v>46211.0</v>
      </c>
      <c r="B103" s="8" t="s">
        <v>199</v>
      </c>
      <c r="C103" s="8"/>
      <c r="D103" s="10">
        <v>0.0</v>
      </c>
      <c r="E103" s="8" t="s">
        <v>143</v>
      </c>
      <c r="F103" s="8"/>
      <c r="G103" s="8" t="s">
        <v>144</v>
      </c>
      <c r="H103" s="8" t="s">
        <v>145</v>
      </c>
    </row>
    <row r="104">
      <c r="A104" s="6">
        <v>46210.0</v>
      </c>
      <c r="B104" s="8" t="s">
        <v>40</v>
      </c>
      <c r="C104" s="67" t="s">
        <v>123</v>
      </c>
      <c r="D104" s="10">
        <v>44.8</v>
      </c>
      <c r="E104" s="16" t="s">
        <v>64</v>
      </c>
      <c r="F104" s="16" t="s">
        <v>13</v>
      </c>
      <c r="G104" s="16" t="s">
        <v>26</v>
      </c>
      <c r="H104" s="16" t="s">
        <v>33</v>
      </c>
    </row>
    <row r="105">
      <c r="A105" s="6">
        <v>46210.0</v>
      </c>
      <c r="B105" s="8" t="s">
        <v>49</v>
      </c>
      <c r="C105" s="8"/>
      <c r="D105" s="10">
        <v>265.83</v>
      </c>
      <c r="E105" s="8" t="s">
        <v>50</v>
      </c>
      <c r="F105" s="8" t="s">
        <v>20</v>
      </c>
      <c r="G105" s="8" t="s">
        <v>14</v>
      </c>
      <c r="H105" s="8"/>
    </row>
    <row r="106">
      <c r="A106" s="6">
        <v>46209.0</v>
      </c>
      <c r="B106" s="8" t="s">
        <v>202</v>
      </c>
      <c r="C106" s="8"/>
      <c r="D106" s="10">
        <v>122.0</v>
      </c>
      <c r="E106" s="8" t="s">
        <v>203</v>
      </c>
      <c r="F106" s="8" t="s">
        <v>13</v>
      </c>
      <c r="G106" s="8" t="s">
        <v>26</v>
      </c>
      <c r="H106" s="8"/>
    </row>
    <row r="107">
      <c r="A107" s="6">
        <v>46209.0</v>
      </c>
      <c r="B107" s="8" t="s">
        <v>47</v>
      </c>
      <c r="C107" s="8"/>
      <c r="D107" s="10">
        <v>20.2</v>
      </c>
      <c r="E107" s="8" t="s">
        <v>48</v>
      </c>
      <c r="F107" s="8" t="s">
        <v>20</v>
      </c>
      <c r="G107" s="8" t="s">
        <v>26</v>
      </c>
      <c r="H107" s="8"/>
    </row>
    <row r="108">
      <c r="A108" s="6">
        <v>46206.0</v>
      </c>
      <c r="B108" s="8" t="s">
        <v>204</v>
      </c>
      <c r="C108" s="8"/>
      <c r="D108" s="10">
        <v>0.28</v>
      </c>
      <c r="E108" s="8" t="s">
        <v>19</v>
      </c>
      <c r="F108" s="8" t="s">
        <v>20</v>
      </c>
      <c r="G108" s="16" t="s">
        <v>21</v>
      </c>
      <c r="H108" s="16" t="s">
        <v>22</v>
      </c>
    </row>
    <row r="109">
      <c r="A109" s="6">
        <v>46206.0</v>
      </c>
      <c r="B109" s="8" t="s">
        <v>37</v>
      </c>
      <c r="C109" s="8"/>
      <c r="D109" s="10">
        <v>9.7</v>
      </c>
      <c r="E109" s="8" t="s">
        <v>38</v>
      </c>
      <c r="F109" s="8" t="s">
        <v>20</v>
      </c>
      <c r="G109" s="8" t="s">
        <v>26</v>
      </c>
      <c r="H109" s="8"/>
    </row>
    <row r="110">
      <c r="A110" s="6">
        <v>46205.0</v>
      </c>
      <c r="B110" s="8" t="s">
        <v>40</v>
      </c>
      <c r="C110" s="67" t="s">
        <v>207</v>
      </c>
      <c r="D110" s="10">
        <v>45.0</v>
      </c>
      <c r="E110" s="8" t="s">
        <v>208</v>
      </c>
      <c r="F110" s="16" t="s">
        <v>13</v>
      </c>
      <c r="G110" s="16" t="s">
        <v>26</v>
      </c>
      <c r="H110" s="16" t="s">
        <v>211</v>
      </c>
    </row>
    <row r="111">
      <c r="A111" s="6">
        <v>46205.0</v>
      </c>
      <c r="B111" s="8" t="s">
        <v>59</v>
      </c>
      <c r="C111" s="8"/>
      <c r="D111" s="10">
        <v>0.8</v>
      </c>
      <c r="E111" s="8" t="s">
        <v>60</v>
      </c>
      <c r="F111" s="8" t="s">
        <v>20</v>
      </c>
      <c r="G111" s="8" t="s">
        <v>26</v>
      </c>
      <c r="H111" s="8"/>
    </row>
    <row r="112">
      <c r="A112" s="6">
        <v>46205.0</v>
      </c>
      <c r="B112" s="8" t="s">
        <v>212</v>
      </c>
      <c r="C112" s="8"/>
      <c r="D112" s="10">
        <v>0.0</v>
      </c>
      <c r="E112" s="8" t="s">
        <v>143</v>
      </c>
      <c r="F112" s="8"/>
      <c r="G112" s="8" t="s">
        <v>144</v>
      </c>
      <c r="H112" s="8" t="s">
        <v>145</v>
      </c>
    </row>
    <row r="113">
      <c r="A113" s="6">
        <v>46204.0</v>
      </c>
      <c r="B113" s="8" t="s">
        <v>213</v>
      </c>
      <c r="C113" s="8"/>
      <c r="D113" s="10">
        <v>5.53</v>
      </c>
      <c r="E113" s="8" t="s">
        <v>19</v>
      </c>
      <c r="F113" s="8" t="s">
        <v>20</v>
      </c>
      <c r="G113" s="16" t="s">
        <v>21</v>
      </c>
      <c r="H113" s="16" t="s">
        <v>22</v>
      </c>
    </row>
    <row r="114">
      <c r="A114" s="6">
        <v>46204.0</v>
      </c>
      <c r="B114" s="8" t="s">
        <v>70</v>
      </c>
      <c r="C114" s="8"/>
      <c r="D114" s="10">
        <v>190.11</v>
      </c>
      <c r="E114" s="8" t="s">
        <v>71</v>
      </c>
      <c r="F114" s="8" t="s">
        <v>20</v>
      </c>
      <c r="G114" s="8" t="s">
        <v>29</v>
      </c>
      <c r="H114" s="8"/>
    </row>
    <row r="115">
      <c r="A115" s="6">
        <v>46204.0</v>
      </c>
      <c r="B115" s="8" t="s">
        <v>61</v>
      </c>
      <c r="C115" s="8"/>
      <c r="D115" s="10">
        <v>25.96</v>
      </c>
      <c r="E115" s="8" t="s">
        <v>62</v>
      </c>
      <c r="F115" s="8" t="s">
        <v>20</v>
      </c>
      <c r="G115" s="8" t="s">
        <v>26</v>
      </c>
      <c r="H115" s="8"/>
    </row>
    <row r="116">
      <c r="A116" s="6">
        <v>46204.0</v>
      </c>
      <c r="B116" s="8" t="s">
        <v>66</v>
      </c>
      <c r="C116" s="8"/>
      <c r="D116" s="10">
        <v>53.56</v>
      </c>
      <c r="E116" s="8" t="s">
        <v>68</v>
      </c>
      <c r="F116" s="8" t="s">
        <v>20</v>
      </c>
      <c r="G116" s="8" t="s">
        <v>26</v>
      </c>
      <c r="H116" s="8"/>
    </row>
    <row r="117">
      <c r="A117" s="6">
        <v>46203.0</v>
      </c>
      <c r="B117" s="8" t="s">
        <v>27</v>
      </c>
      <c r="C117" s="8"/>
      <c r="D117" s="10">
        <v>135.79</v>
      </c>
      <c r="E117" s="8" t="s">
        <v>28</v>
      </c>
      <c r="F117" s="8" t="s">
        <v>13</v>
      </c>
      <c r="G117" s="8" t="s">
        <v>29</v>
      </c>
      <c r="H117" s="8"/>
    </row>
    <row r="118">
      <c r="A118" s="6">
        <v>46203.0</v>
      </c>
      <c r="B118" s="8" t="s">
        <v>75</v>
      </c>
      <c r="C118" s="8"/>
      <c r="D118" s="10">
        <v>0.9</v>
      </c>
      <c r="E118" s="8" t="s">
        <v>19</v>
      </c>
      <c r="F118" s="8" t="s">
        <v>20</v>
      </c>
      <c r="G118" s="16" t="s">
        <v>21</v>
      </c>
      <c r="H118" s="16" t="s">
        <v>22</v>
      </c>
    </row>
    <row r="119">
      <c r="A119" s="6">
        <v>46203.0</v>
      </c>
      <c r="B119" s="8" t="s">
        <v>76</v>
      </c>
      <c r="C119" s="8"/>
      <c r="D119" s="10">
        <v>30.9</v>
      </c>
      <c r="E119" s="8" t="s">
        <v>78</v>
      </c>
      <c r="F119" s="8" t="s">
        <v>13</v>
      </c>
      <c r="G119" s="8" t="s">
        <v>26</v>
      </c>
      <c r="H119" s="8"/>
    </row>
    <row r="120">
      <c r="A120" s="6">
        <v>46203.0</v>
      </c>
      <c r="B120" s="8" t="s">
        <v>49</v>
      </c>
      <c r="C120" s="8"/>
      <c r="D120" s="10">
        <v>265.83</v>
      </c>
      <c r="E120" s="8" t="s">
        <v>50</v>
      </c>
      <c r="F120" s="8" t="s">
        <v>20</v>
      </c>
      <c r="G120" s="8" t="s">
        <v>14</v>
      </c>
      <c r="H120" s="8"/>
    </row>
    <row r="121">
      <c r="A121" s="6">
        <v>46202.0</v>
      </c>
      <c r="B121" s="8" t="s">
        <v>98</v>
      </c>
      <c r="C121" s="8"/>
      <c r="D121" s="10">
        <v>194.32</v>
      </c>
      <c r="E121" s="8" t="s">
        <v>99</v>
      </c>
      <c r="F121" s="8" t="s">
        <v>20</v>
      </c>
      <c r="G121" s="8" t="s">
        <v>14</v>
      </c>
      <c r="H121" s="8"/>
    </row>
    <row r="122">
      <c r="A122" s="6">
        <v>46202.0</v>
      </c>
      <c r="B122" s="8" t="s">
        <v>30</v>
      </c>
      <c r="C122" s="16" t="s">
        <v>87</v>
      </c>
      <c r="D122" s="10">
        <v>13.48</v>
      </c>
      <c r="E122" s="8" t="s">
        <v>32</v>
      </c>
      <c r="F122" s="8" t="s">
        <v>20</v>
      </c>
      <c r="G122" s="16" t="s">
        <v>26</v>
      </c>
      <c r="H122" s="16" t="s">
        <v>33</v>
      </c>
    </row>
    <row r="123">
      <c r="A123" s="6">
        <v>46202.0</v>
      </c>
      <c r="B123" s="8" t="s">
        <v>219</v>
      </c>
      <c r="C123" s="8"/>
      <c r="D123" s="10">
        <v>0.87</v>
      </c>
      <c r="E123" s="8" t="s">
        <v>19</v>
      </c>
      <c r="F123" s="8" t="s">
        <v>20</v>
      </c>
      <c r="G123" s="16" t="s">
        <v>21</v>
      </c>
      <c r="H123" s="16" t="s">
        <v>22</v>
      </c>
    </row>
    <row r="124">
      <c r="A124" s="6">
        <v>46202.0</v>
      </c>
      <c r="B124" s="8" t="s">
        <v>89</v>
      </c>
      <c r="C124" s="8"/>
      <c r="D124" s="10">
        <v>29.96</v>
      </c>
      <c r="E124" s="8" t="s">
        <v>38</v>
      </c>
      <c r="F124" s="8" t="s">
        <v>20</v>
      </c>
      <c r="G124" s="8" t="s">
        <v>26</v>
      </c>
      <c r="H124" s="8"/>
    </row>
    <row r="125">
      <c r="A125" s="6">
        <v>46202.0</v>
      </c>
      <c r="B125" s="8" t="s">
        <v>221</v>
      </c>
      <c r="C125" s="8"/>
      <c r="D125" s="10">
        <v>5.09</v>
      </c>
      <c r="E125" s="8" t="s">
        <v>19</v>
      </c>
      <c r="F125" s="8" t="s">
        <v>20</v>
      </c>
      <c r="G125" s="16" t="s">
        <v>21</v>
      </c>
      <c r="H125" s="16" t="s">
        <v>22</v>
      </c>
    </row>
    <row r="126">
      <c r="A126" s="6">
        <v>46202.0</v>
      </c>
      <c r="B126" s="8" t="s">
        <v>70</v>
      </c>
      <c r="C126" s="8"/>
      <c r="D126" s="10">
        <v>175.08</v>
      </c>
      <c r="E126" s="8" t="s">
        <v>71</v>
      </c>
      <c r="F126" s="8" t="s">
        <v>20</v>
      </c>
      <c r="G126" s="8" t="s">
        <v>29</v>
      </c>
      <c r="H126" s="8"/>
    </row>
    <row r="127">
      <c r="A127" s="6">
        <v>46201.0</v>
      </c>
      <c r="B127" s="8" t="s">
        <v>30</v>
      </c>
      <c r="C127" s="27" t="s">
        <v>91</v>
      </c>
      <c r="D127" s="10">
        <v>14.99</v>
      </c>
      <c r="E127" s="8" t="s">
        <v>32</v>
      </c>
      <c r="F127" s="8" t="s">
        <v>20</v>
      </c>
      <c r="G127" s="16" t="s">
        <v>29</v>
      </c>
      <c r="H127" s="16" t="s">
        <v>33</v>
      </c>
    </row>
    <row r="128">
      <c r="A128" s="6">
        <v>46201.0</v>
      </c>
      <c r="B128" s="8" t="s">
        <v>30</v>
      </c>
      <c r="C128" s="27" t="s">
        <v>92</v>
      </c>
      <c r="D128" s="10">
        <v>24.95</v>
      </c>
      <c r="E128" s="8" t="s">
        <v>32</v>
      </c>
      <c r="F128" s="8" t="s">
        <v>20</v>
      </c>
      <c r="G128" s="16" t="s">
        <v>26</v>
      </c>
      <c r="H128" s="16" t="s">
        <v>33</v>
      </c>
    </row>
    <row r="129">
      <c r="A129" s="6">
        <v>46201.0</v>
      </c>
      <c r="B129" s="8" t="s">
        <v>47</v>
      </c>
      <c r="C129" s="8"/>
      <c r="D129" s="10">
        <v>20.2</v>
      </c>
      <c r="E129" s="8" t="s">
        <v>48</v>
      </c>
      <c r="F129" s="8" t="s">
        <v>20</v>
      </c>
      <c r="G129" s="8" t="s">
        <v>26</v>
      </c>
      <c r="H129" s="8"/>
    </row>
    <row r="130">
      <c r="A130" s="6">
        <v>46201.0</v>
      </c>
      <c r="B130" s="8" t="s">
        <v>40</v>
      </c>
      <c r="C130" s="16" t="s">
        <v>111</v>
      </c>
      <c r="D130" s="10">
        <v>37.42</v>
      </c>
      <c r="E130" s="16" t="s">
        <v>64</v>
      </c>
      <c r="F130" s="16" t="s">
        <v>13</v>
      </c>
      <c r="G130" s="16" t="s">
        <v>14</v>
      </c>
      <c r="H130" s="16"/>
    </row>
    <row r="131">
      <c r="A131" s="6">
        <v>46201.0</v>
      </c>
      <c r="B131" s="8" t="s">
        <v>47</v>
      </c>
      <c r="C131" s="8"/>
      <c r="D131" s="10">
        <v>20.2</v>
      </c>
      <c r="E131" s="8" t="s">
        <v>48</v>
      </c>
      <c r="F131" s="8" t="s">
        <v>20</v>
      </c>
      <c r="G131" s="8" t="s">
        <v>26</v>
      </c>
      <c r="H131" s="8"/>
    </row>
    <row r="132">
      <c r="A132" s="6">
        <v>46201.0</v>
      </c>
      <c r="B132" s="8" t="s">
        <v>223</v>
      </c>
      <c r="C132" s="8"/>
      <c r="D132" s="10">
        <v>11.88</v>
      </c>
      <c r="E132" s="8" t="s">
        <v>97</v>
      </c>
      <c r="F132" s="8" t="s">
        <v>13</v>
      </c>
      <c r="G132" s="8" t="s">
        <v>26</v>
      </c>
      <c r="H132" s="8"/>
    </row>
    <row r="133">
      <c r="A133" s="6">
        <v>46200.0</v>
      </c>
      <c r="B133" s="8" t="s">
        <v>107</v>
      </c>
      <c r="C133" s="8"/>
      <c r="D133" s="10">
        <v>82.9</v>
      </c>
      <c r="E133" s="8" t="s">
        <v>108</v>
      </c>
      <c r="F133" s="8" t="s">
        <v>20</v>
      </c>
      <c r="G133" s="8" t="s">
        <v>29</v>
      </c>
      <c r="H133" s="8"/>
    </row>
    <row r="134">
      <c r="A134" s="6">
        <v>46200.0</v>
      </c>
      <c r="B134" s="8" t="s">
        <v>40</v>
      </c>
      <c r="C134" s="67" t="s">
        <v>224</v>
      </c>
      <c r="D134" s="10">
        <v>94.5</v>
      </c>
      <c r="E134" s="8" t="s">
        <v>208</v>
      </c>
      <c r="F134" s="16" t="s">
        <v>13</v>
      </c>
      <c r="G134" s="16" t="s">
        <v>26</v>
      </c>
      <c r="H134" s="16" t="s">
        <v>226</v>
      </c>
    </row>
    <row r="135">
      <c r="A135" s="6">
        <v>46200.0</v>
      </c>
      <c r="B135" s="8" t="s">
        <v>66</v>
      </c>
      <c r="C135" s="8"/>
      <c r="D135" s="10">
        <v>29.71</v>
      </c>
      <c r="E135" s="8" t="s">
        <v>68</v>
      </c>
      <c r="F135" s="8" t="s">
        <v>20</v>
      </c>
      <c r="G135" s="8" t="s">
        <v>26</v>
      </c>
      <c r="H135" s="8"/>
    </row>
    <row r="136">
      <c r="A136" s="6">
        <v>46200.0</v>
      </c>
      <c r="B136" s="8" t="s">
        <v>34</v>
      </c>
      <c r="C136" s="8"/>
      <c r="D136" s="10">
        <v>46.0</v>
      </c>
      <c r="E136" s="8" t="s">
        <v>35</v>
      </c>
      <c r="F136" s="8" t="s">
        <v>20</v>
      </c>
      <c r="G136" s="8" t="s">
        <v>29</v>
      </c>
      <c r="H136" s="8"/>
    </row>
    <row r="137">
      <c r="A137" s="6">
        <v>46200.0</v>
      </c>
      <c r="B137" s="8" t="s">
        <v>55</v>
      </c>
      <c r="C137" s="16" t="s">
        <v>227</v>
      </c>
      <c r="D137" s="10">
        <v>239.95</v>
      </c>
      <c r="E137" s="16" t="s">
        <v>64</v>
      </c>
      <c r="F137" s="16" t="s">
        <v>13</v>
      </c>
      <c r="G137" s="16" t="s">
        <v>26</v>
      </c>
      <c r="H137" s="16"/>
    </row>
    <row r="138">
      <c r="A138" s="6">
        <v>46200.0</v>
      </c>
      <c r="B138" s="8" t="s">
        <v>47</v>
      </c>
      <c r="C138" s="8"/>
      <c r="D138" s="10">
        <v>20.2</v>
      </c>
      <c r="E138" s="8" t="s">
        <v>48</v>
      </c>
      <c r="F138" s="8" t="s">
        <v>20</v>
      </c>
      <c r="G138" s="8" t="s">
        <v>26</v>
      </c>
      <c r="H138" s="8"/>
    </row>
    <row r="139">
      <c r="A139" s="6">
        <v>46200.0</v>
      </c>
      <c r="B139" s="8" t="s">
        <v>228</v>
      </c>
      <c r="C139" s="8"/>
      <c r="D139" s="10">
        <v>100.0</v>
      </c>
      <c r="E139" s="8" t="s">
        <v>229</v>
      </c>
      <c r="F139" s="8" t="s">
        <v>13</v>
      </c>
      <c r="G139" s="8" t="s">
        <v>26</v>
      </c>
      <c r="H139" s="8"/>
    </row>
    <row r="140">
      <c r="A140" s="6">
        <v>46199.0</v>
      </c>
      <c r="B140" s="8" t="s">
        <v>192</v>
      </c>
      <c r="C140" s="8"/>
      <c r="D140" s="10">
        <v>6.0</v>
      </c>
      <c r="E140" s="8" t="s">
        <v>193</v>
      </c>
      <c r="F140" s="8" t="s">
        <v>13</v>
      </c>
      <c r="G140" s="8" t="s">
        <v>26</v>
      </c>
      <c r="H140" s="8"/>
    </row>
    <row r="141">
      <c r="A141" s="6">
        <v>46199.0</v>
      </c>
      <c r="B141" s="8" t="s">
        <v>230</v>
      </c>
      <c r="C141" s="8"/>
      <c r="D141" s="10">
        <v>56.08</v>
      </c>
      <c r="E141" s="8" t="s">
        <v>231</v>
      </c>
      <c r="F141" s="8" t="s">
        <v>13</v>
      </c>
      <c r="G141" s="8" t="s">
        <v>26</v>
      </c>
      <c r="H141" s="8"/>
    </row>
    <row r="142">
      <c r="A142" s="6">
        <v>46199.0</v>
      </c>
      <c r="B142" s="8" t="s">
        <v>232</v>
      </c>
      <c r="C142" s="8"/>
      <c r="D142" s="10">
        <v>6.9</v>
      </c>
      <c r="E142" s="8" t="s">
        <v>233</v>
      </c>
      <c r="F142" s="8" t="s">
        <v>13</v>
      </c>
      <c r="G142" s="8" t="s">
        <v>26</v>
      </c>
      <c r="H142" s="8"/>
    </row>
    <row r="143">
      <c r="A143" s="6">
        <v>46199.0</v>
      </c>
      <c r="B143" s="8" t="s">
        <v>234</v>
      </c>
      <c r="C143" s="8"/>
      <c r="D143" s="10">
        <v>49.03</v>
      </c>
      <c r="E143" s="8" t="s">
        <v>235</v>
      </c>
      <c r="F143" s="8" t="s">
        <v>13</v>
      </c>
      <c r="G143" s="8" t="s">
        <v>26</v>
      </c>
      <c r="H143" s="8"/>
    </row>
    <row r="144">
      <c r="A144" s="6">
        <v>46199.0</v>
      </c>
      <c r="B144" s="8" t="s">
        <v>81</v>
      </c>
      <c r="C144" s="8"/>
      <c r="D144" s="10">
        <v>14.12</v>
      </c>
      <c r="E144" s="8" t="s">
        <v>35</v>
      </c>
      <c r="F144" s="8" t="s">
        <v>20</v>
      </c>
      <c r="G144" s="8" t="s">
        <v>29</v>
      </c>
      <c r="H144" s="8"/>
    </row>
    <row r="145">
      <c r="A145" s="6">
        <v>46198.0</v>
      </c>
      <c r="B145" s="8" t="s">
        <v>30</v>
      </c>
      <c r="C145" s="27" t="s">
        <v>91</v>
      </c>
      <c r="D145" s="10">
        <v>14.99</v>
      </c>
      <c r="E145" s="8" t="s">
        <v>32</v>
      </c>
      <c r="F145" s="8" t="s">
        <v>20</v>
      </c>
      <c r="G145" s="16" t="s">
        <v>29</v>
      </c>
      <c r="H145" s="16" t="s">
        <v>33</v>
      </c>
    </row>
    <row r="146">
      <c r="A146" s="6">
        <v>46198.0</v>
      </c>
      <c r="B146" s="8" t="s">
        <v>236</v>
      </c>
      <c r="C146" s="8"/>
      <c r="D146" s="10">
        <v>1.14</v>
      </c>
      <c r="E146" s="8" t="s">
        <v>19</v>
      </c>
      <c r="F146" s="8" t="s">
        <v>20</v>
      </c>
      <c r="G146" s="16" t="s">
        <v>21</v>
      </c>
      <c r="H146" s="16" t="s">
        <v>22</v>
      </c>
    </row>
    <row r="147">
      <c r="A147" s="6">
        <v>46198.0</v>
      </c>
      <c r="B147" s="8" t="s">
        <v>238</v>
      </c>
      <c r="C147" s="8"/>
      <c r="D147" s="10">
        <v>39.29</v>
      </c>
      <c r="E147" s="8" t="s">
        <v>239</v>
      </c>
      <c r="F147" s="8" t="s">
        <v>13</v>
      </c>
      <c r="G147" s="8" t="s">
        <v>26</v>
      </c>
      <c r="H147" s="8"/>
    </row>
    <row r="148">
      <c r="A148" s="6">
        <v>46198.0</v>
      </c>
      <c r="B148" s="8" t="s">
        <v>40</v>
      </c>
      <c r="C148" s="16" t="s">
        <v>41</v>
      </c>
      <c r="D148" s="10">
        <v>55.13</v>
      </c>
      <c r="E148" s="16" t="s">
        <v>42</v>
      </c>
      <c r="F148" s="16" t="s">
        <v>13</v>
      </c>
      <c r="G148" s="16" t="s">
        <v>26</v>
      </c>
      <c r="H148" s="16"/>
    </row>
    <row r="149">
      <c r="A149" s="6">
        <v>46198.0</v>
      </c>
      <c r="B149" s="8" t="s">
        <v>112</v>
      </c>
      <c r="C149" s="8"/>
      <c r="D149" s="10">
        <v>17.99</v>
      </c>
      <c r="E149" s="8" t="s">
        <v>113</v>
      </c>
      <c r="F149" s="8" t="s">
        <v>20</v>
      </c>
      <c r="G149" s="8" t="s">
        <v>26</v>
      </c>
      <c r="H149" s="8"/>
    </row>
    <row r="150">
      <c r="A150" s="6">
        <v>46198.0</v>
      </c>
      <c r="B150" s="8" t="s">
        <v>81</v>
      </c>
      <c r="C150" s="8"/>
      <c r="D150" s="10">
        <v>44.9</v>
      </c>
      <c r="E150" s="8" t="s">
        <v>35</v>
      </c>
      <c r="F150" s="8" t="s">
        <v>20</v>
      </c>
      <c r="G150" s="8" t="s">
        <v>29</v>
      </c>
      <c r="H150" s="8"/>
    </row>
    <row r="151">
      <c r="A151" s="6">
        <v>46198.0</v>
      </c>
      <c r="B151" s="8" t="s">
        <v>81</v>
      </c>
      <c r="C151" s="8"/>
      <c r="D151" s="10">
        <v>47.23</v>
      </c>
      <c r="E151" s="8" t="s">
        <v>35</v>
      </c>
      <c r="F151" s="8" t="s">
        <v>20</v>
      </c>
      <c r="G151" s="8" t="s">
        <v>29</v>
      </c>
      <c r="H151" s="8"/>
    </row>
    <row r="152">
      <c r="A152" s="6">
        <v>46197.0</v>
      </c>
      <c r="B152" s="8" t="s">
        <v>240</v>
      </c>
      <c r="C152" s="8"/>
      <c r="D152" s="10">
        <v>90.0</v>
      </c>
      <c r="E152" s="8" t="s">
        <v>241</v>
      </c>
      <c r="F152" s="8" t="s">
        <v>13</v>
      </c>
      <c r="G152" s="8" t="s">
        <v>29</v>
      </c>
      <c r="H152" s="8"/>
    </row>
    <row r="153">
      <c r="A153" s="6">
        <v>46197.0</v>
      </c>
      <c r="B153" s="8" t="s">
        <v>243</v>
      </c>
      <c r="C153" s="8"/>
      <c r="D153" s="10">
        <v>51.0</v>
      </c>
      <c r="E153" s="8" t="s">
        <v>115</v>
      </c>
      <c r="F153" s="8" t="s">
        <v>13</v>
      </c>
      <c r="G153" s="8" t="s">
        <v>29</v>
      </c>
      <c r="H153" s="8"/>
    </row>
    <row r="154">
      <c r="A154" s="6">
        <v>46197.0</v>
      </c>
      <c r="B154" s="8" t="s">
        <v>45</v>
      </c>
      <c r="C154" s="8"/>
      <c r="D154" s="10">
        <v>120.88</v>
      </c>
      <c r="E154" s="8" t="s">
        <v>46</v>
      </c>
      <c r="F154" s="8" t="s">
        <v>13</v>
      </c>
      <c r="G154" s="8" t="s">
        <v>14</v>
      </c>
      <c r="H154" s="8"/>
    </row>
    <row r="155">
      <c r="A155" s="6">
        <v>46197.0</v>
      </c>
      <c r="B155" s="8" t="s">
        <v>47</v>
      </c>
      <c r="C155" s="8"/>
      <c r="D155" s="10">
        <v>20.2</v>
      </c>
      <c r="E155" s="8" t="s">
        <v>48</v>
      </c>
      <c r="F155" s="8" t="s">
        <v>20</v>
      </c>
      <c r="G155" s="8" t="s">
        <v>26</v>
      </c>
      <c r="H155" s="16" t="s">
        <v>33</v>
      </c>
    </row>
    <row r="156">
      <c r="A156" s="6">
        <v>46196.0</v>
      </c>
      <c r="B156" s="8" t="s">
        <v>40</v>
      </c>
      <c r="C156" s="67" t="s">
        <v>123</v>
      </c>
      <c r="D156" s="10">
        <v>44.8</v>
      </c>
      <c r="E156" s="16" t="s">
        <v>64</v>
      </c>
      <c r="F156" s="16" t="s">
        <v>13</v>
      </c>
      <c r="G156" s="16" t="s">
        <v>26</v>
      </c>
      <c r="H156" s="8"/>
    </row>
    <row r="157">
      <c r="A157" s="6">
        <v>46196.0</v>
      </c>
      <c r="B157" s="8" t="s">
        <v>49</v>
      </c>
      <c r="C157" s="8"/>
      <c r="D157" s="10">
        <v>266.08</v>
      </c>
      <c r="E157" s="8" t="s">
        <v>50</v>
      </c>
      <c r="F157" s="8" t="s">
        <v>20</v>
      </c>
      <c r="G157" s="8" t="s">
        <v>14</v>
      </c>
      <c r="H157" s="8"/>
    </row>
    <row r="158">
      <c r="A158" s="6">
        <v>46195.0</v>
      </c>
      <c r="B158" s="8" t="s">
        <v>30</v>
      </c>
      <c r="C158" s="27" t="s">
        <v>121</v>
      </c>
      <c r="D158" s="10">
        <v>8.49</v>
      </c>
      <c r="E158" s="8" t="s">
        <v>32</v>
      </c>
      <c r="F158" s="8" t="s">
        <v>20</v>
      </c>
      <c r="G158" s="16" t="s">
        <v>29</v>
      </c>
      <c r="H158" s="16" t="s">
        <v>33</v>
      </c>
    </row>
    <row r="159">
      <c r="A159" s="6">
        <v>46195.0</v>
      </c>
      <c r="B159" s="8" t="s">
        <v>244</v>
      </c>
      <c r="C159" s="8"/>
      <c r="D159" s="10">
        <v>200.0</v>
      </c>
      <c r="E159" s="8" t="s">
        <v>115</v>
      </c>
      <c r="F159" s="8" t="s">
        <v>13</v>
      </c>
      <c r="G159" s="8" t="s">
        <v>29</v>
      </c>
      <c r="H159" s="8"/>
    </row>
    <row r="160">
      <c r="A160" s="6">
        <v>46195.0</v>
      </c>
      <c r="B160" s="8" t="s">
        <v>245</v>
      </c>
      <c r="C160" s="8"/>
      <c r="D160" s="10">
        <v>1010.0</v>
      </c>
      <c r="E160" s="8" t="s">
        <v>246</v>
      </c>
      <c r="F160" s="8" t="s">
        <v>13</v>
      </c>
      <c r="G160" s="8" t="s">
        <v>14</v>
      </c>
      <c r="H160" s="8"/>
    </row>
    <row r="161">
      <c r="A161" s="6">
        <v>46194.0</v>
      </c>
      <c r="B161" s="8" t="s">
        <v>247</v>
      </c>
      <c r="C161" s="8"/>
      <c r="D161" s="10">
        <v>210.9</v>
      </c>
      <c r="E161" s="8" t="s">
        <v>248</v>
      </c>
      <c r="F161" s="8" t="s">
        <v>13</v>
      </c>
      <c r="G161" s="8" t="s">
        <v>14</v>
      </c>
      <c r="H161" s="8"/>
    </row>
    <row r="162">
      <c r="A162" s="6">
        <v>46194.0</v>
      </c>
      <c r="B162" s="8" t="s">
        <v>249</v>
      </c>
      <c r="C162" s="8"/>
      <c r="D162" s="10">
        <v>8.49</v>
      </c>
      <c r="E162" s="8" t="s">
        <v>19</v>
      </c>
      <c r="F162" s="8" t="s">
        <v>20</v>
      </c>
      <c r="G162" s="16" t="s">
        <v>21</v>
      </c>
      <c r="H162" s="16" t="s">
        <v>22</v>
      </c>
    </row>
    <row r="163">
      <c r="A163" s="6">
        <v>46194.0</v>
      </c>
      <c r="B163" s="8" t="s">
        <v>250</v>
      </c>
      <c r="C163" s="8"/>
      <c r="D163" s="10">
        <v>291.61</v>
      </c>
      <c r="E163" s="8" t="s">
        <v>251</v>
      </c>
      <c r="F163" s="8" t="s">
        <v>13</v>
      </c>
      <c r="G163" s="8" t="s">
        <v>29</v>
      </c>
      <c r="H163" s="8"/>
    </row>
    <row r="164">
      <c r="A164" s="6">
        <v>46194.0</v>
      </c>
      <c r="B164" s="8" t="s">
        <v>135</v>
      </c>
      <c r="C164" s="8"/>
      <c r="D164" s="10">
        <v>223.95</v>
      </c>
      <c r="E164" s="8" t="s">
        <v>136</v>
      </c>
      <c r="F164" s="8" t="s">
        <v>20</v>
      </c>
      <c r="G164" s="8" t="s">
        <v>14</v>
      </c>
      <c r="H164" s="8"/>
    </row>
    <row r="165">
      <c r="A165" s="6">
        <v>46194.0</v>
      </c>
      <c r="B165" s="8" t="s">
        <v>252</v>
      </c>
      <c r="C165" s="8"/>
      <c r="D165" s="10">
        <v>37.96</v>
      </c>
      <c r="E165" s="8" t="s">
        <v>253</v>
      </c>
      <c r="F165" s="8" t="s">
        <v>13</v>
      </c>
      <c r="G165" s="8" t="s">
        <v>26</v>
      </c>
      <c r="H165" s="8"/>
    </row>
    <row r="166">
      <c r="A166" s="6">
        <v>46193.0</v>
      </c>
      <c r="B166" s="8" t="s">
        <v>66</v>
      </c>
      <c r="C166" s="8"/>
      <c r="D166" s="10">
        <v>45.93</v>
      </c>
      <c r="E166" s="8" t="s">
        <v>68</v>
      </c>
      <c r="F166" s="8" t="s">
        <v>20</v>
      </c>
      <c r="G166" s="8" t="s">
        <v>26</v>
      </c>
      <c r="H166" s="8"/>
    </row>
    <row r="167">
      <c r="A167" s="6">
        <v>46193.0</v>
      </c>
      <c r="B167" s="8" t="s">
        <v>47</v>
      </c>
      <c r="C167" s="8"/>
      <c r="D167" s="10">
        <v>20.2</v>
      </c>
      <c r="E167" s="8" t="s">
        <v>48</v>
      </c>
      <c r="F167" s="8" t="s">
        <v>20</v>
      </c>
      <c r="G167" s="8" t="s">
        <v>26</v>
      </c>
      <c r="H167" s="8"/>
    </row>
    <row r="168">
      <c r="A168" s="6">
        <v>46192.0</v>
      </c>
      <c r="B168" s="8" t="s">
        <v>30</v>
      </c>
      <c r="C168" s="27" t="s">
        <v>190</v>
      </c>
      <c r="D168" s="10">
        <v>19.0</v>
      </c>
      <c r="E168" s="8" t="s">
        <v>32</v>
      </c>
      <c r="F168" s="8" t="s">
        <v>20</v>
      </c>
      <c r="G168" s="16" t="s">
        <v>26</v>
      </c>
      <c r="H168" s="16" t="s">
        <v>33</v>
      </c>
    </row>
    <row r="169">
      <c r="A169" s="6">
        <v>46192.0</v>
      </c>
      <c r="B169" s="8" t="s">
        <v>34</v>
      </c>
      <c r="C169" s="8"/>
      <c r="D169" s="10">
        <v>9.99</v>
      </c>
      <c r="E169" s="8" t="s">
        <v>35</v>
      </c>
      <c r="F169" s="8" t="s">
        <v>20</v>
      </c>
      <c r="G169" s="8" t="s">
        <v>29</v>
      </c>
      <c r="H169" s="8"/>
    </row>
    <row r="170">
      <c r="A170" s="6">
        <v>46192.0</v>
      </c>
      <c r="B170" s="8" t="s">
        <v>244</v>
      </c>
      <c r="C170" s="8"/>
      <c r="D170" s="10">
        <v>247.5</v>
      </c>
      <c r="E170" s="8" t="s">
        <v>115</v>
      </c>
      <c r="F170" s="8" t="s">
        <v>13</v>
      </c>
      <c r="G170" s="8" t="s">
        <v>29</v>
      </c>
      <c r="H170" s="8"/>
    </row>
    <row r="171">
      <c r="A171" s="6">
        <v>46192.0</v>
      </c>
      <c r="B171" s="8" t="s">
        <v>133</v>
      </c>
      <c r="C171" s="8"/>
      <c r="D171" s="10">
        <v>386.89</v>
      </c>
      <c r="E171" s="8" t="s">
        <v>134</v>
      </c>
      <c r="F171" s="8" t="s">
        <v>20</v>
      </c>
      <c r="G171" s="8" t="s">
        <v>14</v>
      </c>
      <c r="H171" s="8"/>
    </row>
    <row r="172">
      <c r="A172" s="6">
        <v>46192.0</v>
      </c>
      <c r="B172" s="8" t="s">
        <v>255</v>
      </c>
      <c r="C172" s="8"/>
      <c r="D172" s="10">
        <v>0.0</v>
      </c>
      <c r="E172" s="8" t="s">
        <v>143</v>
      </c>
      <c r="F172" s="8"/>
      <c r="G172" s="8" t="s">
        <v>144</v>
      </c>
      <c r="H172" s="8" t="s">
        <v>145</v>
      </c>
    </row>
    <row r="173">
      <c r="A173" s="6">
        <v>46191.0</v>
      </c>
      <c r="B173" s="8" t="s">
        <v>40</v>
      </c>
      <c r="C173" s="67" t="s">
        <v>207</v>
      </c>
      <c r="D173" s="10">
        <v>44.99</v>
      </c>
      <c r="E173" s="8" t="s">
        <v>208</v>
      </c>
      <c r="F173" s="16" t="s">
        <v>13</v>
      </c>
      <c r="G173" s="16" t="s">
        <v>26</v>
      </c>
      <c r="H173" s="16" t="s">
        <v>211</v>
      </c>
    </row>
    <row r="174">
      <c r="A174" s="6">
        <v>46191.0</v>
      </c>
      <c r="B174" s="8" t="s">
        <v>30</v>
      </c>
      <c r="C174" s="16" t="s">
        <v>109</v>
      </c>
      <c r="D174" s="10">
        <v>12.99</v>
      </c>
      <c r="E174" s="8" t="s">
        <v>32</v>
      </c>
      <c r="F174" s="8" t="s">
        <v>20</v>
      </c>
      <c r="G174" s="16" t="s">
        <v>26</v>
      </c>
      <c r="H174" s="16" t="s">
        <v>33</v>
      </c>
    </row>
    <row r="175">
      <c r="A175" s="6">
        <v>46190.0</v>
      </c>
      <c r="B175" s="8" t="s">
        <v>66</v>
      </c>
      <c r="C175" s="8"/>
      <c r="D175" s="10">
        <v>31.05</v>
      </c>
      <c r="E175" s="8" t="s">
        <v>68</v>
      </c>
      <c r="F175" s="8" t="s">
        <v>20</v>
      </c>
      <c r="G175" s="8" t="s">
        <v>26</v>
      </c>
      <c r="H175" s="8"/>
    </row>
    <row r="176">
      <c r="A176" s="6">
        <v>46190.0</v>
      </c>
      <c r="B176" s="8" t="s">
        <v>49</v>
      </c>
      <c r="C176" s="8"/>
      <c r="D176" s="10">
        <v>265.95</v>
      </c>
      <c r="E176" s="8" t="s">
        <v>50</v>
      </c>
      <c r="F176" s="8" t="s">
        <v>20</v>
      </c>
      <c r="G176" s="8" t="s">
        <v>14</v>
      </c>
      <c r="H176" s="8"/>
    </row>
    <row r="177">
      <c r="A177" s="6">
        <v>46189.0</v>
      </c>
      <c r="B177" s="8" t="s">
        <v>148</v>
      </c>
      <c r="C177" s="8"/>
      <c r="D177" s="10">
        <v>0.56</v>
      </c>
      <c r="E177" s="8" t="s">
        <v>19</v>
      </c>
      <c r="F177" s="8" t="s">
        <v>20</v>
      </c>
      <c r="G177" s="16" t="s">
        <v>21</v>
      </c>
      <c r="H177" s="16" t="s">
        <v>22</v>
      </c>
    </row>
    <row r="178">
      <c r="A178" s="6">
        <v>46189.0</v>
      </c>
      <c r="B178" s="8" t="s">
        <v>149</v>
      </c>
      <c r="C178" s="8"/>
      <c r="D178" s="10">
        <v>19.55</v>
      </c>
      <c r="E178" s="8" t="s">
        <v>150</v>
      </c>
      <c r="F178" s="8" t="s">
        <v>20</v>
      </c>
      <c r="G178" s="8" t="s">
        <v>26</v>
      </c>
      <c r="H178" s="8"/>
    </row>
    <row r="179">
      <c r="A179" s="6">
        <v>46189.0</v>
      </c>
      <c r="B179" s="8" t="s">
        <v>159</v>
      </c>
      <c r="C179" s="8"/>
      <c r="D179" s="10">
        <v>24.99</v>
      </c>
      <c r="E179" s="8" t="s">
        <v>160</v>
      </c>
      <c r="F179" s="8" t="s">
        <v>13</v>
      </c>
      <c r="G179" s="8" t="s">
        <v>26</v>
      </c>
      <c r="H179" s="8"/>
    </row>
    <row r="180">
      <c r="A180" s="6">
        <v>46189.0</v>
      </c>
      <c r="B180" s="8" t="s">
        <v>146</v>
      </c>
      <c r="C180" s="8"/>
      <c r="D180" s="10">
        <v>63.16</v>
      </c>
      <c r="E180" s="8" t="s">
        <v>147</v>
      </c>
      <c r="F180" s="8" t="s">
        <v>20</v>
      </c>
      <c r="G180" s="8" t="s">
        <v>14</v>
      </c>
      <c r="H180" s="8"/>
    </row>
    <row r="181">
      <c r="A181" s="6">
        <v>46189.0</v>
      </c>
      <c r="B181" s="8" t="s">
        <v>256</v>
      </c>
      <c r="C181" s="8"/>
      <c r="D181" s="10">
        <v>0.0</v>
      </c>
      <c r="E181" s="8" t="s">
        <v>143</v>
      </c>
      <c r="F181" s="8"/>
      <c r="G181" s="8" t="s">
        <v>144</v>
      </c>
      <c r="H181" s="8" t="s">
        <v>145</v>
      </c>
    </row>
    <row r="182">
      <c r="A182" s="6">
        <v>46188.0</v>
      </c>
      <c r="B182" s="8" t="s">
        <v>55</v>
      </c>
      <c r="C182" s="16" t="s">
        <v>257</v>
      </c>
      <c r="D182" s="10">
        <v>133.55</v>
      </c>
      <c r="E182" s="16" t="s">
        <v>258</v>
      </c>
      <c r="F182" s="16" t="s">
        <v>13</v>
      </c>
      <c r="G182" s="16" t="s">
        <v>29</v>
      </c>
      <c r="H182" s="8"/>
    </row>
    <row r="183">
      <c r="A183" s="6">
        <v>46188.0</v>
      </c>
      <c r="B183" s="8" t="s">
        <v>66</v>
      </c>
      <c r="C183" s="8"/>
      <c r="D183" s="10">
        <v>25.31</v>
      </c>
      <c r="E183" s="8" t="s">
        <v>68</v>
      </c>
      <c r="F183" s="8" t="s">
        <v>20</v>
      </c>
      <c r="G183" s="8" t="s">
        <v>26</v>
      </c>
      <c r="H183" s="8"/>
    </row>
    <row r="184">
      <c r="A184" s="6">
        <v>46188.0</v>
      </c>
      <c r="B184" s="8" t="s">
        <v>167</v>
      </c>
      <c r="C184" s="8"/>
      <c r="D184" s="10">
        <v>0.3</v>
      </c>
      <c r="E184" s="8" t="s">
        <v>19</v>
      </c>
      <c r="F184" s="8" t="s">
        <v>20</v>
      </c>
      <c r="G184" s="16" t="s">
        <v>21</v>
      </c>
      <c r="H184" s="16" t="s">
        <v>22</v>
      </c>
    </row>
    <row r="185">
      <c r="A185" s="6">
        <v>46188.0</v>
      </c>
      <c r="B185" s="8" t="s">
        <v>168</v>
      </c>
      <c r="C185" s="8"/>
      <c r="D185" s="10">
        <v>10.32</v>
      </c>
      <c r="E185" s="8" t="s">
        <v>169</v>
      </c>
      <c r="F185" s="8" t="s">
        <v>20</v>
      </c>
      <c r="G185" s="8" t="s">
        <v>26</v>
      </c>
      <c r="H185" s="8"/>
    </row>
    <row r="186">
      <c r="A186" s="6">
        <v>46187.0</v>
      </c>
      <c r="B186" s="8" t="s">
        <v>259</v>
      </c>
      <c r="C186" s="8"/>
      <c r="D186" s="10">
        <v>20.99</v>
      </c>
      <c r="E186" s="8" t="s">
        <v>172</v>
      </c>
      <c r="F186" s="8" t="s">
        <v>20</v>
      </c>
      <c r="G186" s="8" t="s">
        <v>14</v>
      </c>
      <c r="H186" s="8"/>
    </row>
    <row r="187">
      <c r="A187" s="6">
        <v>46187.0</v>
      </c>
      <c r="B187" s="8" t="s">
        <v>176</v>
      </c>
      <c r="C187" s="8"/>
      <c r="D187" s="10">
        <v>20.99</v>
      </c>
      <c r="E187" s="8" t="s">
        <v>177</v>
      </c>
      <c r="F187" s="8" t="s">
        <v>20</v>
      </c>
      <c r="G187" s="8" t="s">
        <v>26</v>
      </c>
      <c r="H187" s="8"/>
    </row>
    <row r="188">
      <c r="A188" s="6">
        <v>46187.0</v>
      </c>
      <c r="B188" s="8" t="s">
        <v>178</v>
      </c>
      <c r="C188" s="8"/>
      <c r="D188" s="10">
        <v>2.99</v>
      </c>
      <c r="E188" s="8" t="s">
        <v>179</v>
      </c>
      <c r="F188" s="8" t="s">
        <v>20</v>
      </c>
      <c r="G188" s="8" t="s">
        <v>29</v>
      </c>
      <c r="H188" s="8"/>
    </row>
    <row r="189">
      <c r="A189" s="6">
        <v>46187.0</v>
      </c>
      <c r="B189" s="8" t="s">
        <v>66</v>
      </c>
      <c r="C189" s="8"/>
      <c r="D189" s="10">
        <v>91.62</v>
      </c>
      <c r="E189" s="8" t="s">
        <v>68</v>
      </c>
      <c r="F189" s="8" t="s">
        <v>20</v>
      </c>
      <c r="G189" s="8" t="s">
        <v>26</v>
      </c>
      <c r="H189" s="8"/>
    </row>
    <row r="190">
      <c r="A190" s="6">
        <v>46186.0</v>
      </c>
      <c r="B190" s="8" t="s">
        <v>40</v>
      </c>
      <c r="C190" s="16" t="s">
        <v>260</v>
      </c>
      <c r="D190" s="10">
        <v>121.75</v>
      </c>
      <c r="E190" s="8" t="s">
        <v>208</v>
      </c>
      <c r="F190" s="16" t="s">
        <v>13</v>
      </c>
      <c r="G190" s="16" t="s">
        <v>26</v>
      </c>
      <c r="H190" s="96" t="s">
        <v>261</v>
      </c>
    </row>
    <row r="191">
      <c r="A191" s="6">
        <v>46186.0</v>
      </c>
      <c r="B191" s="8" t="s">
        <v>40</v>
      </c>
      <c r="C191" s="67" t="s">
        <v>224</v>
      </c>
      <c r="D191" s="10">
        <v>94.5</v>
      </c>
      <c r="E191" s="8" t="s">
        <v>208</v>
      </c>
      <c r="F191" s="16" t="s">
        <v>13</v>
      </c>
      <c r="G191" s="16" t="s">
        <v>26</v>
      </c>
      <c r="H191" s="16" t="s">
        <v>226</v>
      </c>
    </row>
    <row r="192">
      <c r="A192" s="6">
        <v>46186.0</v>
      </c>
      <c r="B192" s="8" t="s">
        <v>180</v>
      </c>
      <c r="C192" s="8"/>
      <c r="D192" s="10">
        <v>13.99</v>
      </c>
      <c r="E192" s="8" t="s">
        <v>181</v>
      </c>
      <c r="F192" s="8" t="s">
        <v>20</v>
      </c>
      <c r="G192" s="8" t="s">
        <v>14</v>
      </c>
      <c r="H192" s="8"/>
    </row>
    <row r="193">
      <c r="A193" s="6">
        <v>46185.0</v>
      </c>
      <c r="B193" s="8" t="s">
        <v>262</v>
      </c>
      <c r="C193" s="8"/>
      <c r="D193" s="10">
        <v>-4.0</v>
      </c>
      <c r="E193" s="8" t="s">
        <v>263</v>
      </c>
      <c r="F193" s="8"/>
      <c r="G193" s="8" t="s">
        <v>144</v>
      </c>
      <c r="H193" s="8" t="s">
        <v>264</v>
      </c>
    </row>
    <row r="194">
      <c r="A194" s="6">
        <v>46185.0</v>
      </c>
      <c r="B194" s="8" t="s">
        <v>265</v>
      </c>
      <c r="C194" s="8"/>
      <c r="D194" s="10">
        <v>1.16</v>
      </c>
      <c r="E194" s="8" t="s">
        <v>19</v>
      </c>
      <c r="F194" s="8" t="s">
        <v>20</v>
      </c>
      <c r="G194" s="16" t="s">
        <v>21</v>
      </c>
      <c r="H194" s="16" t="s">
        <v>22</v>
      </c>
    </row>
    <row r="195">
      <c r="A195" s="6">
        <v>46185.0</v>
      </c>
      <c r="B195" s="8" t="s">
        <v>238</v>
      </c>
      <c r="C195" s="8"/>
      <c r="D195" s="10">
        <v>39.98</v>
      </c>
      <c r="E195" s="8" t="s">
        <v>239</v>
      </c>
      <c r="F195" s="8" t="s">
        <v>13</v>
      </c>
      <c r="G195" s="8" t="s">
        <v>26</v>
      </c>
      <c r="H195" s="8"/>
    </row>
    <row r="196">
      <c r="A196" s="6">
        <v>46185.0</v>
      </c>
      <c r="B196" s="8" t="s">
        <v>266</v>
      </c>
      <c r="C196" s="8"/>
      <c r="D196" s="10">
        <v>216.0</v>
      </c>
      <c r="E196" s="8" t="s">
        <v>115</v>
      </c>
      <c r="F196" s="8" t="s">
        <v>13</v>
      </c>
      <c r="G196" s="8" t="s">
        <v>29</v>
      </c>
      <c r="H196" s="8"/>
    </row>
    <row r="197">
      <c r="A197" s="6">
        <v>46185.0</v>
      </c>
      <c r="B197" s="8" t="s">
        <v>267</v>
      </c>
      <c r="C197" s="8"/>
      <c r="D197" s="10">
        <v>159.82</v>
      </c>
      <c r="E197" s="8" t="s">
        <v>268</v>
      </c>
      <c r="F197" s="8" t="s">
        <v>20</v>
      </c>
      <c r="G197" s="8" t="s">
        <v>14</v>
      </c>
      <c r="H197" s="8"/>
    </row>
    <row r="198">
      <c r="A198" s="6">
        <v>46185.0</v>
      </c>
      <c r="B198" s="8" t="s">
        <v>47</v>
      </c>
      <c r="C198" s="8"/>
      <c r="D198" s="10">
        <v>20.2</v>
      </c>
      <c r="E198" s="8" t="s">
        <v>48</v>
      </c>
      <c r="F198" s="8" t="s">
        <v>20</v>
      </c>
      <c r="G198" s="8" t="s">
        <v>26</v>
      </c>
      <c r="H198" s="8"/>
    </row>
    <row r="199">
      <c r="A199" s="6">
        <v>46185.0</v>
      </c>
      <c r="B199" s="8" t="s">
        <v>49</v>
      </c>
      <c r="C199" s="8"/>
      <c r="D199" s="10">
        <v>265.95</v>
      </c>
      <c r="E199" s="8" t="s">
        <v>50</v>
      </c>
      <c r="F199" s="8" t="s">
        <v>20</v>
      </c>
      <c r="G199" s="8" t="s">
        <v>14</v>
      </c>
      <c r="H199" s="8"/>
    </row>
    <row r="200">
      <c r="A200" s="6">
        <v>46184.0</v>
      </c>
      <c r="B200" s="8" t="s">
        <v>269</v>
      </c>
      <c r="C200" s="8"/>
      <c r="D200" s="10">
        <v>5.1</v>
      </c>
      <c r="E200" s="8" t="s">
        <v>19</v>
      </c>
      <c r="F200" s="8" t="s">
        <v>20</v>
      </c>
      <c r="G200" s="16" t="s">
        <v>21</v>
      </c>
      <c r="H200" s="16" t="s">
        <v>22</v>
      </c>
    </row>
    <row r="201">
      <c r="A201" s="6">
        <v>46184.0</v>
      </c>
      <c r="B201" s="8" t="s">
        <v>70</v>
      </c>
      <c r="C201" s="8"/>
      <c r="D201" s="10">
        <v>175.12</v>
      </c>
      <c r="E201" s="8" t="s">
        <v>71</v>
      </c>
      <c r="F201" s="8" t="s">
        <v>20</v>
      </c>
      <c r="G201" s="8" t="s">
        <v>29</v>
      </c>
      <c r="H201" s="8"/>
    </row>
    <row r="202">
      <c r="A202" s="6">
        <v>46184.0</v>
      </c>
      <c r="B202" s="8" t="s">
        <v>269</v>
      </c>
      <c r="C202" s="8"/>
      <c r="D202" s="10">
        <v>5.1</v>
      </c>
      <c r="E202" s="8" t="s">
        <v>19</v>
      </c>
      <c r="F202" s="8" t="s">
        <v>20</v>
      </c>
      <c r="G202" s="16" t="s">
        <v>21</v>
      </c>
      <c r="H202" s="16" t="s">
        <v>22</v>
      </c>
    </row>
    <row r="203">
      <c r="A203" s="6">
        <v>46184.0</v>
      </c>
      <c r="B203" s="8" t="s">
        <v>70</v>
      </c>
      <c r="C203" s="8"/>
      <c r="D203" s="10">
        <v>175.11</v>
      </c>
      <c r="E203" s="8" t="s">
        <v>71</v>
      </c>
      <c r="F203" s="8" t="s">
        <v>20</v>
      </c>
      <c r="G203" s="8" t="s">
        <v>29</v>
      </c>
      <c r="H203" s="8"/>
    </row>
    <row r="204">
      <c r="A204" s="6">
        <v>46183.0</v>
      </c>
      <c r="B204" s="8" t="s">
        <v>270</v>
      </c>
      <c r="C204" s="8"/>
      <c r="D204" s="10">
        <v>135.0</v>
      </c>
      <c r="E204" s="8" t="s">
        <v>162</v>
      </c>
      <c r="F204" s="8" t="s">
        <v>20</v>
      </c>
      <c r="G204" s="8" t="s">
        <v>29</v>
      </c>
      <c r="H204" s="8"/>
    </row>
    <row r="205">
      <c r="A205" s="6">
        <v>46183.0</v>
      </c>
      <c r="B205" s="8" t="s">
        <v>30</v>
      </c>
      <c r="C205" s="16" t="s">
        <v>271</v>
      </c>
      <c r="D205" s="10">
        <v>31.98</v>
      </c>
      <c r="E205" s="8" t="s">
        <v>32</v>
      </c>
      <c r="F205" s="8" t="s">
        <v>20</v>
      </c>
      <c r="G205" s="16" t="s">
        <v>26</v>
      </c>
      <c r="H205" s="8"/>
    </row>
    <row r="206">
      <c r="A206" s="6">
        <v>46183.0</v>
      </c>
      <c r="B206" s="8" t="s">
        <v>81</v>
      </c>
      <c r="C206" s="8"/>
      <c r="D206" s="10">
        <v>27.58</v>
      </c>
      <c r="E206" s="8" t="s">
        <v>35</v>
      </c>
      <c r="F206" s="8" t="s">
        <v>20</v>
      </c>
      <c r="G206" s="8" t="s">
        <v>29</v>
      </c>
      <c r="H206" s="8"/>
    </row>
    <row r="207">
      <c r="A207" s="6">
        <v>46183.0</v>
      </c>
      <c r="B207" s="8" t="s">
        <v>187</v>
      </c>
      <c r="C207" s="8"/>
      <c r="D207" s="10">
        <v>19.0</v>
      </c>
      <c r="E207" s="8" t="s">
        <v>188</v>
      </c>
      <c r="F207" s="8" t="s">
        <v>20</v>
      </c>
      <c r="G207" s="8" t="s">
        <v>26</v>
      </c>
      <c r="H207" s="8"/>
    </row>
    <row r="208">
      <c r="A208" s="6">
        <v>46183.0</v>
      </c>
      <c r="B208" s="8" t="s">
        <v>81</v>
      </c>
      <c r="C208" s="8"/>
      <c r="D208" s="10">
        <v>25.98</v>
      </c>
      <c r="E208" s="8" t="s">
        <v>35</v>
      </c>
      <c r="F208" s="8" t="s">
        <v>20</v>
      </c>
      <c r="G208" s="8" t="s">
        <v>29</v>
      </c>
      <c r="H208" s="8"/>
    </row>
    <row r="209">
      <c r="A209" s="6">
        <v>46182.0</v>
      </c>
      <c r="B209" s="8" t="s">
        <v>40</v>
      </c>
      <c r="C209" s="67" t="s">
        <v>123</v>
      </c>
      <c r="D209" s="10">
        <v>44.81</v>
      </c>
      <c r="E209" s="16" t="s">
        <v>64</v>
      </c>
      <c r="F209" s="16" t="s">
        <v>13</v>
      </c>
      <c r="G209" s="16" t="s">
        <v>26</v>
      </c>
      <c r="H209" s="8"/>
    </row>
    <row r="210">
      <c r="A210" s="6">
        <v>46182.0</v>
      </c>
      <c r="B210" s="8" t="s">
        <v>66</v>
      </c>
      <c r="C210" s="8"/>
      <c r="D210" s="10">
        <v>32.85</v>
      </c>
      <c r="E210" s="8" t="s">
        <v>68</v>
      </c>
      <c r="F210" s="8" t="s">
        <v>20</v>
      </c>
      <c r="G210" s="8" t="s">
        <v>26</v>
      </c>
      <c r="H210" s="8"/>
    </row>
    <row r="211">
      <c r="A211" s="6">
        <v>46181.0</v>
      </c>
      <c r="B211" s="8" t="s">
        <v>66</v>
      </c>
      <c r="C211" s="8"/>
      <c r="D211" s="10">
        <v>25.3</v>
      </c>
      <c r="E211" s="8" t="s">
        <v>68</v>
      </c>
      <c r="F211" s="8" t="s">
        <v>20</v>
      </c>
      <c r="G211" s="8" t="s">
        <v>26</v>
      </c>
      <c r="H211" s="8"/>
    </row>
    <row r="212">
      <c r="A212" s="6">
        <v>46179.0</v>
      </c>
      <c r="B212" s="8" t="s">
        <v>66</v>
      </c>
      <c r="C212" s="8"/>
      <c r="D212" s="10">
        <v>67.89</v>
      </c>
      <c r="E212" s="8" t="s">
        <v>68</v>
      </c>
      <c r="F212" s="8" t="s">
        <v>20</v>
      </c>
      <c r="G212" s="8" t="s">
        <v>26</v>
      </c>
      <c r="H212" s="8"/>
    </row>
    <row r="213">
      <c r="A213" s="6">
        <v>46178.0</v>
      </c>
      <c r="B213" s="8" t="s">
        <v>43</v>
      </c>
      <c r="C213" s="8"/>
      <c r="D213" s="10">
        <v>60.29</v>
      </c>
      <c r="E213" s="27" t="s">
        <v>44</v>
      </c>
      <c r="F213" s="8" t="s">
        <v>20</v>
      </c>
      <c r="G213" s="16" t="s">
        <v>29</v>
      </c>
      <c r="H213" s="8"/>
    </row>
    <row r="214">
      <c r="A214" s="6">
        <v>46178.0</v>
      </c>
      <c r="B214" s="8" t="s">
        <v>55</v>
      </c>
      <c r="C214" s="16" t="s">
        <v>273</v>
      </c>
      <c r="D214" s="10">
        <v>16.14</v>
      </c>
      <c r="E214" s="16" t="s">
        <v>141</v>
      </c>
      <c r="F214" s="16" t="s">
        <v>13</v>
      </c>
      <c r="G214" s="16" t="s">
        <v>29</v>
      </c>
      <c r="H214" s="8"/>
    </row>
    <row r="215">
      <c r="A215" s="6">
        <v>46177.0</v>
      </c>
      <c r="B215" s="8" t="s">
        <v>40</v>
      </c>
      <c r="C215" s="67" t="s">
        <v>207</v>
      </c>
      <c r="D215" s="10">
        <v>44.99</v>
      </c>
      <c r="E215" s="8" t="s">
        <v>208</v>
      </c>
      <c r="F215" s="16" t="s">
        <v>13</v>
      </c>
      <c r="G215" s="16" t="s">
        <v>26</v>
      </c>
      <c r="H215" s="16" t="s">
        <v>211</v>
      </c>
    </row>
    <row r="216">
      <c r="A216" s="6">
        <v>46177.0</v>
      </c>
      <c r="B216" s="8" t="s">
        <v>47</v>
      </c>
      <c r="C216" s="8"/>
      <c r="D216" s="10">
        <v>20.2</v>
      </c>
      <c r="E216" s="8" t="s">
        <v>48</v>
      </c>
      <c r="F216" s="8" t="s">
        <v>20</v>
      </c>
      <c r="G216" s="8" t="s">
        <v>26</v>
      </c>
      <c r="H216" s="8"/>
    </row>
    <row r="217">
      <c r="A217" s="6">
        <v>46177.0</v>
      </c>
      <c r="B217" s="8" t="s">
        <v>131</v>
      </c>
      <c r="C217" s="8"/>
      <c r="D217" s="10">
        <v>208.9</v>
      </c>
      <c r="E217" s="8" t="s">
        <v>132</v>
      </c>
      <c r="F217" s="8" t="s">
        <v>13</v>
      </c>
      <c r="G217" s="8" t="s">
        <v>14</v>
      </c>
      <c r="H217" s="8"/>
    </row>
    <row r="218">
      <c r="A218" s="6">
        <v>46177.0</v>
      </c>
      <c r="B218" s="8" t="s">
        <v>27</v>
      </c>
      <c r="C218" s="8"/>
      <c r="D218" s="10">
        <v>990.13</v>
      </c>
      <c r="E218" s="8" t="s">
        <v>28</v>
      </c>
      <c r="F218" s="8" t="s">
        <v>13</v>
      </c>
      <c r="G218" s="8" t="s">
        <v>29</v>
      </c>
      <c r="H218" s="8"/>
    </row>
    <row r="219">
      <c r="A219" s="6">
        <v>46176.0</v>
      </c>
      <c r="B219" s="8" t="s">
        <v>81</v>
      </c>
      <c r="C219" s="8"/>
      <c r="D219" s="10">
        <v>50.58</v>
      </c>
      <c r="E219" s="8" t="s">
        <v>35</v>
      </c>
      <c r="F219" s="8" t="s">
        <v>20</v>
      </c>
      <c r="G219" s="8" t="s">
        <v>29</v>
      </c>
      <c r="H219" s="8"/>
    </row>
    <row r="220">
      <c r="A220" s="6">
        <v>46176.0</v>
      </c>
      <c r="B220" s="8" t="s">
        <v>274</v>
      </c>
      <c r="C220" s="8"/>
      <c r="D220" s="10">
        <v>772.82</v>
      </c>
      <c r="E220" s="8" t="s">
        <v>276</v>
      </c>
      <c r="F220" s="8" t="s">
        <v>13</v>
      </c>
      <c r="G220" s="8" t="s">
        <v>14</v>
      </c>
      <c r="H220" s="8"/>
    </row>
    <row r="221">
      <c r="A221" s="6">
        <v>46176.0</v>
      </c>
      <c r="B221" s="8" t="s">
        <v>81</v>
      </c>
      <c r="C221" s="8"/>
      <c r="D221" s="10">
        <v>49.11</v>
      </c>
      <c r="E221" s="8" t="s">
        <v>35</v>
      </c>
      <c r="F221" s="8" t="s">
        <v>20</v>
      </c>
      <c r="G221" s="8" t="s">
        <v>29</v>
      </c>
      <c r="H221" s="8"/>
    </row>
    <row r="222">
      <c r="A222" s="6">
        <v>46175.0</v>
      </c>
      <c r="B222" s="8" t="s">
        <v>66</v>
      </c>
      <c r="C222" s="8"/>
      <c r="D222" s="10">
        <v>29.09</v>
      </c>
      <c r="E222" s="8" t="s">
        <v>68</v>
      </c>
      <c r="F222" s="8" t="s">
        <v>20</v>
      </c>
      <c r="G222" s="8" t="s">
        <v>26</v>
      </c>
      <c r="H222" s="8"/>
    </row>
    <row r="223">
      <c r="A223" s="6">
        <v>46175.0</v>
      </c>
      <c r="B223" s="8" t="s">
        <v>49</v>
      </c>
      <c r="C223" s="8"/>
      <c r="D223" s="10">
        <v>265.95</v>
      </c>
      <c r="E223" s="8" t="s">
        <v>50</v>
      </c>
      <c r="F223" s="8" t="s">
        <v>20</v>
      </c>
      <c r="G223" s="8" t="s">
        <v>14</v>
      </c>
      <c r="H223" s="8"/>
    </row>
    <row r="224">
      <c r="A224" s="6">
        <v>46175.0</v>
      </c>
      <c r="B224" s="8" t="s">
        <v>59</v>
      </c>
      <c r="C224" s="8"/>
      <c r="D224" s="10">
        <v>0.79</v>
      </c>
      <c r="E224" s="8" t="s">
        <v>60</v>
      </c>
      <c r="F224" s="8" t="s">
        <v>20</v>
      </c>
      <c r="G224" s="8" t="s">
        <v>26</v>
      </c>
      <c r="H224" s="8"/>
    </row>
    <row r="225">
      <c r="A225" s="6">
        <v>46175.0</v>
      </c>
      <c r="B225" s="8" t="s">
        <v>277</v>
      </c>
      <c r="C225" s="8"/>
      <c r="D225" s="10">
        <v>95.0</v>
      </c>
      <c r="E225" s="8" t="s">
        <v>154</v>
      </c>
      <c r="F225" s="8" t="s">
        <v>20</v>
      </c>
      <c r="G225" s="8" t="s">
        <v>29</v>
      </c>
      <c r="H225" s="8"/>
    </row>
    <row r="226">
      <c r="A226" s="6">
        <v>46174.0</v>
      </c>
      <c r="B226" s="8" t="s">
        <v>278</v>
      </c>
      <c r="C226" s="8"/>
      <c r="D226" s="10">
        <v>32.0</v>
      </c>
      <c r="E226" s="8" t="s">
        <v>279</v>
      </c>
      <c r="F226" s="8" t="s">
        <v>13</v>
      </c>
      <c r="G226" s="8" t="s">
        <v>26</v>
      </c>
      <c r="H226" s="8"/>
    </row>
    <row r="227">
      <c r="A227" s="6">
        <v>46174.0</v>
      </c>
      <c r="B227" s="8" t="s">
        <v>55</v>
      </c>
      <c r="C227" s="16" t="s">
        <v>280</v>
      </c>
      <c r="D227" s="10">
        <v>29.99</v>
      </c>
      <c r="E227" s="16" t="s">
        <v>141</v>
      </c>
      <c r="F227" s="16" t="s">
        <v>13</v>
      </c>
      <c r="G227" s="16" t="s">
        <v>29</v>
      </c>
      <c r="H227" s="8"/>
    </row>
    <row r="228">
      <c r="A228" s="6">
        <v>46174.0</v>
      </c>
      <c r="B228" s="8" t="s">
        <v>47</v>
      </c>
      <c r="C228" s="8"/>
      <c r="D228" s="10">
        <v>20.2</v>
      </c>
      <c r="E228" s="8" t="s">
        <v>48</v>
      </c>
      <c r="F228" s="8" t="s">
        <v>20</v>
      </c>
      <c r="G228" s="8" t="s">
        <v>26</v>
      </c>
      <c r="H228" s="8"/>
    </row>
    <row r="229">
      <c r="A229" s="6">
        <v>46174.0</v>
      </c>
      <c r="B229" s="8" t="s">
        <v>61</v>
      </c>
      <c r="C229" s="8"/>
      <c r="D229" s="10">
        <v>25.96</v>
      </c>
      <c r="E229" s="8" t="s">
        <v>62</v>
      </c>
      <c r="F229" s="8" t="s">
        <v>20</v>
      </c>
      <c r="G229" s="8" t="s">
        <v>26</v>
      </c>
      <c r="H229" s="8"/>
    </row>
    <row r="230">
      <c r="A230" s="6">
        <v>46173.0</v>
      </c>
      <c r="B230" s="8" t="s">
        <v>75</v>
      </c>
      <c r="C230" s="8"/>
      <c r="D230" s="10">
        <v>0.9</v>
      </c>
      <c r="E230" s="8" t="s">
        <v>19</v>
      </c>
      <c r="F230" s="8" t="s">
        <v>20</v>
      </c>
      <c r="G230" s="16" t="s">
        <v>21</v>
      </c>
      <c r="H230" s="16" t="s">
        <v>22</v>
      </c>
    </row>
    <row r="231">
      <c r="A231" s="6">
        <v>46173.0</v>
      </c>
      <c r="B231" s="8" t="s">
        <v>76</v>
      </c>
      <c r="C231" s="8"/>
      <c r="D231" s="10">
        <v>30.9</v>
      </c>
      <c r="E231" s="8" t="s">
        <v>78</v>
      </c>
      <c r="F231" s="8" t="s">
        <v>13</v>
      </c>
      <c r="G231" s="8" t="s">
        <v>26</v>
      </c>
      <c r="H231" s="8"/>
    </row>
    <row r="232">
      <c r="A232" s="6">
        <v>46172.0</v>
      </c>
      <c r="B232" s="8" t="s">
        <v>40</v>
      </c>
      <c r="C232" s="67" t="s">
        <v>207</v>
      </c>
      <c r="D232" s="10">
        <v>121.74</v>
      </c>
      <c r="E232" s="8" t="s">
        <v>208</v>
      </c>
      <c r="F232" s="16" t="s">
        <v>13</v>
      </c>
      <c r="G232" s="16" t="s">
        <v>26</v>
      </c>
      <c r="H232" s="96" t="s">
        <v>261</v>
      </c>
    </row>
    <row r="233">
      <c r="A233" s="6">
        <v>46172.0</v>
      </c>
      <c r="B233" s="8" t="s">
        <v>40</v>
      </c>
      <c r="C233" s="67" t="s">
        <v>224</v>
      </c>
      <c r="D233" s="10">
        <v>94.5</v>
      </c>
      <c r="E233" s="8" t="s">
        <v>208</v>
      </c>
      <c r="F233" s="16" t="s">
        <v>13</v>
      </c>
      <c r="G233" s="16" t="s">
        <v>26</v>
      </c>
      <c r="H233" s="16" t="s">
        <v>226</v>
      </c>
    </row>
    <row r="234">
      <c r="A234" s="6">
        <v>46172.0</v>
      </c>
      <c r="B234" s="8" t="s">
        <v>281</v>
      </c>
      <c r="C234" s="8"/>
      <c r="D234" s="10">
        <v>165.6</v>
      </c>
      <c r="E234" s="8" t="s">
        <v>268</v>
      </c>
      <c r="F234" s="8" t="s">
        <v>20</v>
      </c>
      <c r="G234" s="8" t="s">
        <v>14</v>
      </c>
      <c r="H234" s="8"/>
    </row>
    <row r="235">
      <c r="A235" s="6">
        <v>46171.0</v>
      </c>
      <c r="B235" s="8" t="s">
        <v>47</v>
      </c>
      <c r="C235" s="8"/>
      <c r="D235" s="10">
        <v>20.2</v>
      </c>
      <c r="E235" s="8" t="s">
        <v>48</v>
      </c>
      <c r="F235" s="8" t="s">
        <v>20</v>
      </c>
      <c r="G235" s="8" t="s">
        <v>26</v>
      </c>
      <c r="H235" s="8"/>
    </row>
    <row r="236">
      <c r="A236" s="6">
        <v>46171.0</v>
      </c>
      <c r="B236" s="8" t="s">
        <v>282</v>
      </c>
      <c r="C236" s="8"/>
      <c r="D236" s="10">
        <v>0.83</v>
      </c>
      <c r="E236" s="8" t="s">
        <v>19</v>
      </c>
      <c r="F236" s="8" t="s">
        <v>20</v>
      </c>
      <c r="G236" s="16" t="s">
        <v>21</v>
      </c>
      <c r="H236" s="16" t="s">
        <v>22</v>
      </c>
    </row>
    <row r="237">
      <c r="A237" s="6">
        <v>46171.0</v>
      </c>
      <c r="B237" s="8" t="s">
        <v>89</v>
      </c>
      <c r="C237" s="8"/>
      <c r="D237" s="10">
        <v>28.82</v>
      </c>
      <c r="E237" s="8" t="s">
        <v>38</v>
      </c>
      <c r="F237" s="8" t="s">
        <v>20</v>
      </c>
      <c r="G237" s="8" t="s">
        <v>26</v>
      </c>
      <c r="H237" s="8"/>
    </row>
    <row r="238">
      <c r="A238" s="6">
        <v>46171.0</v>
      </c>
      <c r="B238" s="8" t="s">
        <v>283</v>
      </c>
      <c r="C238" s="8"/>
      <c r="D238" s="10">
        <v>9.25</v>
      </c>
      <c r="E238" s="8" t="s">
        <v>19</v>
      </c>
      <c r="F238" s="8" t="s">
        <v>20</v>
      </c>
      <c r="G238" s="16" t="s">
        <v>21</v>
      </c>
      <c r="H238" s="16" t="s">
        <v>22</v>
      </c>
    </row>
    <row r="239">
      <c r="A239" s="6">
        <v>46171.0</v>
      </c>
      <c r="B239" s="8" t="s">
        <v>284</v>
      </c>
      <c r="C239" s="8"/>
      <c r="D239" s="10">
        <v>317.53</v>
      </c>
      <c r="E239" s="8" t="s">
        <v>71</v>
      </c>
      <c r="F239" s="8" t="s">
        <v>20</v>
      </c>
      <c r="G239" s="8" t="s">
        <v>29</v>
      </c>
      <c r="H239" s="8"/>
    </row>
    <row r="240">
      <c r="A240" s="6">
        <v>46170.0</v>
      </c>
      <c r="B240" s="8" t="s">
        <v>30</v>
      </c>
      <c r="C240" s="27" t="s">
        <v>92</v>
      </c>
      <c r="D240" s="10">
        <v>24.95</v>
      </c>
      <c r="E240" s="8" t="s">
        <v>32</v>
      </c>
      <c r="F240" s="8" t="s">
        <v>20</v>
      </c>
      <c r="G240" s="16" t="s">
        <v>26</v>
      </c>
      <c r="H240" s="8"/>
    </row>
    <row r="241">
      <c r="A241" s="6">
        <v>46170.0</v>
      </c>
      <c r="B241" s="8" t="s">
        <v>30</v>
      </c>
      <c r="C241" s="27" t="s">
        <v>91</v>
      </c>
      <c r="D241" s="10">
        <v>14.99</v>
      </c>
      <c r="E241" s="8" t="s">
        <v>32</v>
      </c>
      <c r="F241" s="8" t="s">
        <v>20</v>
      </c>
      <c r="G241" s="16" t="s">
        <v>29</v>
      </c>
      <c r="H241" s="8"/>
    </row>
    <row r="242">
      <c r="A242" s="6">
        <v>46170.0</v>
      </c>
      <c r="B242" s="8" t="s">
        <v>30</v>
      </c>
      <c r="C242" s="16" t="s">
        <v>87</v>
      </c>
      <c r="D242" s="10">
        <v>13.48</v>
      </c>
      <c r="E242" s="8" t="s">
        <v>32</v>
      </c>
      <c r="F242" s="8" t="s">
        <v>20</v>
      </c>
      <c r="G242" s="16" t="s">
        <v>26</v>
      </c>
      <c r="H242" s="8"/>
    </row>
    <row r="243">
      <c r="A243" s="6">
        <v>46170.0</v>
      </c>
      <c r="B243" s="8" t="s">
        <v>285</v>
      </c>
      <c r="C243" s="8"/>
      <c r="D243" s="10">
        <v>11.88</v>
      </c>
      <c r="E243" s="8" t="s">
        <v>97</v>
      </c>
      <c r="F243" s="8" t="s">
        <v>13</v>
      </c>
      <c r="G243" s="8" t="s">
        <v>26</v>
      </c>
      <c r="H243" s="8"/>
    </row>
    <row r="244">
      <c r="A244" s="6">
        <v>46169.0</v>
      </c>
      <c r="B244" s="8" t="s">
        <v>287</v>
      </c>
      <c r="C244" s="8"/>
      <c r="D244" s="10">
        <v>27.95</v>
      </c>
      <c r="E244" s="8" t="s">
        <v>288</v>
      </c>
      <c r="F244" s="8" t="s">
        <v>13</v>
      </c>
      <c r="G244" s="8" t="s">
        <v>26</v>
      </c>
      <c r="H244" s="8"/>
    </row>
    <row r="245">
      <c r="A245" s="6">
        <v>46169.0</v>
      </c>
      <c r="B245" s="8" t="s">
        <v>98</v>
      </c>
      <c r="C245" s="8"/>
      <c r="D245" s="10">
        <v>194.32</v>
      </c>
      <c r="E245" s="8" t="s">
        <v>99</v>
      </c>
      <c r="F245" s="8" t="s">
        <v>20</v>
      </c>
      <c r="G245" s="8" t="s">
        <v>14</v>
      </c>
      <c r="H245" s="8"/>
    </row>
    <row r="246">
      <c r="A246" s="6">
        <v>46169.0</v>
      </c>
      <c r="B246" s="8" t="s">
        <v>289</v>
      </c>
      <c r="C246" s="8"/>
      <c r="D246" s="10">
        <v>152.9</v>
      </c>
      <c r="E246" s="8" t="s">
        <v>154</v>
      </c>
      <c r="F246" s="8" t="s">
        <v>20</v>
      </c>
      <c r="G246" s="8" t="s">
        <v>29</v>
      </c>
      <c r="H246" s="8"/>
    </row>
    <row r="247">
      <c r="A247" s="6">
        <v>46169.0</v>
      </c>
      <c r="B247" s="8" t="s">
        <v>66</v>
      </c>
      <c r="C247" s="8"/>
      <c r="D247" s="10">
        <v>28.53</v>
      </c>
      <c r="E247" s="8" t="s">
        <v>68</v>
      </c>
      <c r="F247" s="8" t="s">
        <v>20</v>
      </c>
      <c r="G247" s="8" t="s">
        <v>26</v>
      </c>
      <c r="H247" s="8"/>
    </row>
    <row r="248">
      <c r="A248" s="6">
        <v>46169.0</v>
      </c>
      <c r="B248" s="8" t="s">
        <v>49</v>
      </c>
      <c r="C248" s="8"/>
      <c r="D248" s="10">
        <v>265.95</v>
      </c>
      <c r="E248" s="8" t="s">
        <v>50</v>
      </c>
      <c r="F248" s="8" t="s">
        <v>20</v>
      </c>
      <c r="G248" s="8" t="s">
        <v>14</v>
      </c>
      <c r="H248" s="8"/>
    </row>
    <row r="249">
      <c r="A249" s="6">
        <v>46169.0</v>
      </c>
      <c r="B249" s="8" t="s">
        <v>107</v>
      </c>
      <c r="C249" s="8"/>
      <c r="D249" s="10">
        <v>82.9</v>
      </c>
      <c r="E249" s="8" t="s">
        <v>108</v>
      </c>
      <c r="F249" s="8" t="s">
        <v>20</v>
      </c>
      <c r="G249" s="8" t="s">
        <v>29</v>
      </c>
      <c r="H249" s="8"/>
    </row>
    <row r="250">
      <c r="A250" s="6">
        <v>46168.0</v>
      </c>
      <c r="B250" s="8" t="s">
        <v>30</v>
      </c>
      <c r="C250" s="16" t="s">
        <v>109</v>
      </c>
      <c r="D250" s="10">
        <v>12.99</v>
      </c>
      <c r="E250" s="8" t="s">
        <v>32</v>
      </c>
      <c r="F250" s="8" t="s">
        <v>20</v>
      </c>
      <c r="G250" s="16" t="s">
        <v>26</v>
      </c>
      <c r="H250" s="8"/>
    </row>
    <row r="251">
      <c r="A251" s="6">
        <v>46168.0</v>
      </c>
      <c r="B251" s="8" t="s">
        <v>66</v>
      </c>
      <c r="C251" s="8"/>
      <c r="D251" s="10">
        <v>24.3</v>
      </c>
      <c r="E251" s="8" t="s">
        <v>68</v>
      </c>
      <c r="F251" s="8" t="s">
        <v>20</v>
      </c>
      <c r="G251" s="8" t="s">
        <v>26</v>
      </c>
      <c r="H251" s="8"/>
    </row>
    <row r="252">
      <c r="A252" s="6">
        <v>46168.0</v>
      </c>
      <c r="B252" s="8" t="s">
        <v>51</v>
      </c>
      <c r="C252" s="8"/>
      <c r="D252" s="10">
        <v>123.06</v>
      </c>
      <c r="E252" s="8" t="s">
        <v>52</v>
      </c>
      <c r="F252" s="8" t="s">
        <v>13</v>
      </c>
      <c r="G252" s="8" t="s">
        <v>29</v>
      </c>
      <c r="H252" s="8"/>
    </row>
    <row r="253">
      <c r="A253" s="6">
        <v>46167.0</v>
      </c>
      <c r="B253" s="8" t="s">
        <v>30</v>
      </c>
      <c r="C253" s="27" t="s">
        <v>91</v>
      </c>
      <c r="D253" s="10">
        <v>14.99</v>
      </c>
      <c r="E253" s="8" t="s">
        <v>32</v>
      </c>
      <c r="F253" s="8" t="s">
        <v>20</v>
      </c>
      <c r="G253" s="16" t="s">
        <v>29</v>
      </c>
      <c r="H253" s="8"/>
    </row>
    <row r="254">
      <c r="A254" s="6">
        <v>46167.0</v>
      </c>
      <c r="B254" s="8" t="s">
        <v>291</v>
      </c>
      <c r="C254" s="8"/>
      <c r="D254" s="10">
        <v>1.05</v>
      </c>
      <c r="E254" s="8" t="s">
        <v>19</v>
      </c>
      <c r="F254" s="8" t="s">
        <v>20</v>
      </c>
      <c r="G254" s="16" t="s">
        <v>21</v>
      </c>
      <c r="H254" s="16" t="s">
        <v>22</v>
      </c>
    </row>
    <row r="255">
      <c r="A255" s="6">
        <v>46167.0</v>
      </c>
      <c r="B255" s="8" t="s">
        <v>292</v>
      </c>
      <c r="C255" s="8"/>
      <c r="D255" s="10">
        <v>36.05</v>
      </c>
      <c r="E255" s="8" t="s">
        <v>293</v>
      </c>
      <c r="F255" s="8" t="s">
        <v>13</v>
      </c>
      <c r="G255" s="8" t="s">
        <v>26</v>
      </c>
      <c r="H255" s="8"/>
    </row>
    <row r="256">
      <c r="A256" s="6">
        <v>46167.0</v>
      </c>
      <c r="B256" s="8" t="s">
        <v>112</v>
      </c>
      <c r="C256" s="8"/>
      <c r="D256" s="10">
        <v>15.99</v>
      </c>
      <c r="E256" s="8" t="s">
        <v>113</v>
      </c>
      <c r="F256" s="8" t="s">
        <v>20</v>
      </c>
      <c r="G256" s="8" t="s">
        <v>26</v>
      </c>
      <c r="H256" s="8"/>
    </row>
    <row r="257">
      <c r="A257" s="6">
        <v>46166.0</v>
      </c>
      <c r="B257" s="8" t="s">
        <v>40</v>
      </c>
      <c r="C257" s="67" t="s">
        <v>294</v>
      </c>
      <c r="D257" s="10">
        <v>12.25</v>
      </c>
      <c r="E257" s="8" t="s">
        <v>208</v>
      </c>
      <c r="F257" s="16" t="s">
        <v>13</v>
      </c>
      <c r="G257" s="16" t="s">
        <v>29</v>
      </c>
      <c r="H257" s="8"/>
    </row>
    <row r="258">
      <c r="A258" s="6">
        <v>46164.0</v>
      </c>
      <c r="B258" s="8" t="s">
        <v>30</v>
      </c>
      <c r="C258" s="27" t="s">
        <v>121</v>
      </c>
      <c r="D258" s="10">
        <v>8.49</v>
      </c>
      <c r="E258" s="8" t="s">
        <v>32</v>
      </c>
      <c r="F258" s="8" t="s">
        <v>20</v>
      </c>
      <c r="G258" s="16" t="s">
        <v>29</v>
      </c>
      <c r="H258" s="8"/>
    </row>
    <row r="259">
      <c r="A259" s="6">
        <v>46164.0</v>
      </c>
      <c r="B259" s="8" t="s">
        <v>40</v>
      </c>
      <c r="C259" s="67" t="s">
        <v>207</v>
      </c>
      <c r="D259" s="10">
        <v>45.0</v>
      </c>
      <c r="E259" s="8" t="s">
        <v>208</v>
      </c>
      <c r="F259" s="16" t="s">
        <v>13</v>
      </c>
      <c r="G259" s="16" t="s">
        <v>26</v>
      </c>
      <c r="H259" s="16" t="s">
        <v>211</v>
      </c>
    </row>
    <row r="260">
      <c r="A260" s="6">
        <v>46164.0</v>
      </c>
      <c r="B260" s="8" t="s">
        <v>295</v>
      </c>
      <c r="C260" s="8"/>
      <c r="D260" s="10">
        <v>2.5</v>
      </c>
      <c r="E260" s="8" t="s">
        <v>73</v>
      </c>
      <c r="F260" s="8" t="s">
        <v>13</v>
      </c>
      <c r="G260" s="8" t="s">
        <v>29</v>
      </c>
      <c r="H260" s="8"/>
    </row>
    <row r="261">
      <c r="A261" s="6">
        <v>46164.0</v>
      </c>
      <c r="B261" s="8" t="s">
        <v>133</v>
      </c>
      <c r="C261" s="8"/>
      <c r="D261" s="10">
        <v>399.09</v>
      </c>
      <c r="E261" s="8" t="s">
        <v>134</v>
      </c>
      <c r="F261" s="8" t="s">
        <v>20</v>
      </c>
      <c r="G261" s="8" t="s">
        <v>14</v>
      </c>
      <c r="H261" s="8"/>
    </row>
    <row r="262">
      <c r="A262" s="6">
        <v>46161.0</v>
      </c>
      <c r="B262" s="8" t="s">
        <v>296</v>
      </c>
      <c r="C262" s="8"/>
      <c r="D262" s="10">
        <v>159.95</v>
      </c>
      <c r="E262" s="8" t="s">
        <v>297</v>
      </c>
      <c r="F262" s="8" t="s">
        <v>13</v>
      </c>
      <c r="G262" s="8" t="s">
        <v>26</v>
      </c>
      <c r="H262" s="8"/>
    </row>
    <row r="263">
      <c r="A263" s="6">
        <v>46161.0</v>
      </c>
      <c r="B263" s="8" t="s">
        <v>30</v>
      </c>
      <c r="C263" s="27" t="s">
        <v>190</v>
      </c>
      <c r="D263" s="10">
        <v>19.0</v>
      </c>
      <c r="E263" s="8" t="s">
        <v>32</v>
      </c>
      <c r="F263" s="8" t="s">
        <v>20</v>
      </c>
      <c r="G263" s="16" t="s">
        <v>26</v>
      </c>
      <c r="H263" s="8"/>
    </row>
    <row r="264">
      <c r="A264" s="6">
        <v>46161.0</v>
      </c>
      <c r="B264" s="8" t="s">
        <v>135</v>
      </c>
      <c r="C264" s="8"/>
      <c r="D264" s="10">
        <v>223.95</v>
      </c>
      <c r="E264" s="8" t="s">
        <v>136</v>
      </c>
      <c r="F264" s="8" t="s">
        <v>20</v>
      </c>
      <c r="G264" s="8" t="s">
        <v>14</v>
      </c>
      <c r="H264" s="8"/>
    </row>
    <row r="265">
      <c r="A265" s="6">
        <v>46161.0</v>
      </c>
      <c r="B265" s="8" t="s">
        <v>40</v>
      </c>
      <c r="C265" s="67" t="s">
        <v>299</v>
      </c>
      <c r="D265" s="10">
        <v>302.5</v>
      </c>
      <c r="E265" s="8" t="s">
        <v>208</v>
      </c>
      <c r="F265" s="16" t="s">
        <v>13</v>
      </c>
      <c r="G265" s="16" t="s">
        <v>29</v>
      </c>
      <c r="H265" s="16" t="s">
        <v>300</v>
      </c>
    </row>
    <row r="266">
      <c r="A266" s="6">
        <v>46161.0</v>
      </c>
      <c r="B266" s="8" t="s">
        <v>34</v>
      </c>
      <c r="C266" s="8"/>
      <c r="D266" s="10">
        <v>9.99</v>
      </c>
      <c r="E266" s="8" t="s">
        <v>35</v>
      </c>
      <c r="F266" s="8" t="s">
        <v>20</v>
      </c>
      <c r="G266" s="8" t="s">
        <v>29</v>
      </c>
      <c r="H266" s="8"/>
    </row>
    <row r="267">
      <c r="A267" s="6">
        <v>46161.0</v>
      </c>
      <c r="B267" s="8" t="s">
        <v>146</v>
      </c>
      <c r="C267" s="8"/>
      <c r="D267" s="10">
        <v>48.95</v>
      </c>
      <c r="E267" s="8" t="s">
        <v>147</v>
      </c>
      <c r="F267" s="8" t="s">
        <v>20</v>
      </c>
      <c r="G267" s="8" t="s">
        <v>14</v>
      </c>
      <c r="H267" s="8"/>
    </row>
    <row r="268">
      <c r="A268" s="6">
        <v>46161.0</v>
      </c>
      <c r="B268" s="8" t="s">
        <v>49</v>
      </c>
      <c r="C268" s="8"/>
      <c r="D268" s="10">
        <v>265.95</v>
      </c>
      <c r="E268" s="8" t="s">
        <v>50</v>
      </c>
      <c r="F268" s="8" t="s">
        <v>20</v>
      </c>
      <c r="G268" s="8" t="s">
        <v>14</v>
      </c>
      <c r="H268" s="8"/>
    </row>
    <row r="269">
      <c r="A269" s="6">
        <v>46160.0</v>
      </c>
      <c r="B269" s="8" t="s">
        <v>55</v>
      </c>
      <c r="C269" s="16" t="s">
        <v>301</v>
      </c>
      <c r="D269" s="10">
        <v>20.99</v>
      </c>
      <c r="E269" s="16" t="s">
        <v>141</v>
      </c>
      <c r="F269" s="16" t="s">
        <v>13</v>
      </c>
      <c r="G269" s="16" t="s">
        <v>14</v>
      </c>
      <c r="H269" s="16"/>
    </row>
    <row r="270">
      <c r="A270" s="6">
        <v>46159.0</v>
      </c>
      <c r="B270" s="8" t="s">
        <v>182</v>
      </c>
      <c r="C270" s="8"/>
      <c r="D270" s="10">
        <v>84.55</v>
      </c>
      <c r="E270" s="8" t="s">
        <v>162</v>
      </c>
      <c r="F270" s="8" t="s">
        <v>20</v>
      </c>
      <c r="G270" s="8" t="s">
        <v>29</v>
      </c>
      <c r="H270" s="8"/>
    </row>
    <row r="271">
      <c r="A271" s="6">
        <v>46159.0</v>
      </c>
      <c r="B271" s="8" t="s">
        <v>40</v>
      </c>
      <c r="C271" s="67" t="s">
        <v>224</v>
      </c>
      <c r="D271" s="10">
        <v>94.5</v>
      </c>
      <c r="E271" s="8" t="s">
        <v>208</v>
      </c>
      <c r="F271" s="16" t="s">
        <v>13</v>
      </c>
      <c r="G271" s="16" t="s">
        <v>26</v>
      </c>
      <c r="H271" s="16" t="s">
        <v>226</v>
      </c>
    </row>
    <row r="272">
      <c r="A272" s="6">
        <v>46159.0</v>
      </c>
      <c r="B272" s="8" t="s">
        <v>302</v>
      </c>
      <c r="C272" s="8"/>
      <c r="D272" s="10">
        <v>0.0</v>
      </c>
      <c r="E272" s="8" t="s">
        <v>143</v>
      </c>
      <c r="F272" s="8"/>
      <c r="G272" s="8" t="s">
        <v>144</v>
      </c>
      <c r="H272" s="8" t="s">
        <v>145</v>
      </c>
    </row>
    <row r="273">
      <c r="A273" s="6">
        <v>46158.0</v>
      </c>
      <c r="B273" s="8" t="s">
        <v>148</v>
      </c>
      <c r="C273" s="8"/>
      <c r="D273" s="10">
        <v>0.56</v>
      </c>
      <c r="E273" s="8" t="s">
        <v>19</v>
      </c>
      <c r="F273" s="8" t="s">
        <v>20</v>
      </c>
      <c r="G273" s="16" t="s">
        <v>21</v>
      </c>
      <c r="H273" s="16" t="s">
        <v>22</v>
      </c>
    </row>
    <row r="274">
      <c r="A274" s="6">
        <v>46158.0</v>
      </c>
      <c r="B274" s="8" t="s">
        <v>149</v>
      </c>
      <c r="C274" s="8"/>
      <c r="D274" s="10">
        <v>19.55</v>
      </c>
      <c r="E274" s="8" t="s">
        <v>150</v>
      </c>
      <c r="F274" s="8" t="s">
        <v>20</v>
      </c>
      <c r="G274" s="8" t="s">
        <v>26</v>
      </c>
      <c r="H274" s="8"/>
    </row>
    <row r="275">
      <c r="A275" s="6">
        <v>46158.0</v>
      </c>
      <c r="B275" s="8" t="s">
        <v>40</v>
      </c>
      <c r="C275" s="67" t="s">
        <v>207</v>
      </c>
      <c r="D275" s="10">
        <v>121.74</v>
      </c>
      <c r="E275" s="8" t="s">
        <v>208</v>
      </c>
      <c r="F275" s="16" t="s">
        <v>13</v>
      </c>
      <c r="G275" s="16" t="s">
        <v>26</v>
      </c>
      <c r="H275" s="96" t="s">
        <v>261</v>
      </c>
    </row>
    <row r="276">
      <c r="A276" s="6">
        <v>46157.0</v>
      </c>
      <c r="B276" s="8" t="s">
        <v>204</v>
      </c>
      <c r="C276" s="8"/>
      <c r="D276" s="10">
        <v>0.28</v>
      </c>
      <c r="E276" s="8" t="s">
        <v>19</v>
      </c>
      <c r="F276" s="8" t="s">
        <v>20</v>
      </c>
      <c r="G276" s="16" t="s">
        <v>21</v>
      </c>
      <c r="H276" s="16" t="s">
        <v>22</v>
      </c>
    </row>
    <row r="277">
      <c r="A277" s="6">
        <v>46157.0</v>
      </c>
      <c r="B277" s="8" t="s">
        <v>168</v>
      </c>
      <c r="C277" s="8"/>
      <c r="D277" s="10">
        <v>9.98</v>
      </c>
      <c r="E277" s="8" t="s">
        <v>169</v>
      </c>
      <c r="F277" s="8" t="s">
        <v>20</v>
      </c>
      <c r="G277" s="8" t="s">
        <v>26</v>
      </c>
      <c r="H277" s="8"/>
    </row>
    <row r="278">
      <c r="A278" s="6">
        <v>46156.0</v>
      </c>
      <c r="B278" s="8" t="s">
        <v>304</v>
      </c>
      <c r="C278" s="8"/>
      <c r="D278" s="10">
        <v>20.99</v>
      </c>
      <c r="E278" s="8" t="s">
        <v>172</v>
      </c>
      <c r="F278" s="8" t="s">
        <v>20</v>
      </c>
      <c r="G278" s="8" t="s">
        <v>14</v>
      </c>
      <c r="H278" s="8"/>
    </row>
    <row r="279">
      <c r="A279" s="6">
        <v>46156.0</v>
      </c>
      <c r="B279" s="8" t="s">
        <v>176</v>
      </c>
      <c r="C279" s="8"/>
      <c r="D279" s="10">
        <v>20.99</v>
      </c>
      <c r="E279" s="8" t="s">
        <v>177</v>
      </c>
      <c r="F279" s="8" t="s">
        <v>20</v>
      </c>
      <c r="G279" s="8" t="s">
        <v>26</v>
      </c>
      <c r="H279" s="8"/>
    </row>
    <row r="280">
      <c r="A280" s="6">
        <v>46156.0</v>
      </c>
      <c r="B280" s="8" t="s">
        <v>178</v>
      </c>
      <c r="C280" s="8"/>
      <c r="D280" s="10">
        <v>2.99</v>
      </c>
      <c r="E280" s="8" t="s">
        <v>179</v>
      </c>
      <c r="F280" s="8" t="s">
        <v>20</v>
      </c>
      <c r="G280" s="8" t="s">
        <v>29</v>
      </c>
      <c r="H280" s="8"/>
    </row>
    <row r="281">
      <c r="A281" s="6">
        <v>46155.0</v>
      </c>
      <c r="B281" s="8" t="s">
        <v>305</v>
      </c>
      <c r="C281" s="8"/>
      <c r="D281" s="10">
        <v>3.56</v>
      </c>
      <c r="E281" s="8" t="s">
        <v>19</v>
      </c>
      <c r="F281" s="8" t="s">
        <v>20</v>
      </c>
      <c r="G281" s="16" t="s">
        <v>21</v>
      </c>
      <c r="H281" s="16" t="s">
        <v>22</v>
      </c>
    </row>
    <row r="282">
      <c r="A282" s="6">
        <v>46155.0</v>
      </c>
      <c r="B282" s="8" t="s">
        <v>250</v>
      </c>
      <c r="C282" s="8"/>
      <c r="D282" s="10">
        <v>122.38</v>
      </c>
      <c r="E282" s="8" t="s">
        <v>251</v>
      </c>
      <c r="F282" s="8" t="s">
        <v>13</v>
      </c>
      <c r="G282" s="8" t="s">
        <v>29</v>
      </c>
      <c r="H282" s="8"/>
    </row>
    <row r="283">
      <c r="A283" s="6">
        <v>46155.0</v>
      </c>
      <c r="B283" s="8" t="s">
        <v>51</v>
      </c>
      <c r="C283" s="8"/>
      <c r="D283" s="10">
        <v>123.06</v>
      </c>
      <c r="E283" s="8" t="s">
        <v>52</v>
      </c>
      <c r="F283" s="8" t="s">
        <v>13</v>
      </c>
      <c r="G283" s="8" t="s">
        <v>29</v>
      </c>
      <c r="H283" s="8"/>
    </row>
    <row r="284">
      <c r="A284" s="6">
        <v>46155.0</v>
      </c>
      <c r="B284" s="8" t="s">
        <v>49</v>
      </c>
      <c r="C284" s="8"/>
      <c r="D284" s="10">
        <v>265.95</v>
      </c>
      <c r="E284" s="8" t="s">
        <v>50</v>
      </c>
      <c r="F284" s="8" t="s">
        <v>20</v>
      </c>
      <c r="G284" s="8" t="s">
        <v>14</v>
      </c>
      <c r="H284" s="8"/>
    </row>
    <row r="285">
      <c r="A285" s="6">
        <v>46155.0</v>
      </c>
      <c r="B285" s="8" t="s">
        <v>180</v>
      </c>
      <c r="C285" s="8"/>
      <c r="D285" s="10">
        <v>13.99</v>
      </c>
      <c r="E285" s="8" t="s">
        <v>181</v>
      </c>
      <c r="F285" s="8" t="s">
        <v>20</v>
      </c>
      <c r="G285" s="8" t="s">
        <v>14</v>
      </c>
      <c r="H285" s="8"/>
    </row>
    <row r="286">
      <c r="A286" s="6">
        <v>46154.0</v>
      </c>
      <c r="B286" s="8" t="s">
        <v>10</v>
      </c>
      <c r="C286" s="8"/>
      <c r="D286" s="10">
        <v>524.38</v>
      </c>
      <c r="E286" s="8" t="s">
        <v>11</v>
      </c>
      <c r="F286" s="8" t="s">
        <v>13</v>
      </c>
      <c r="G286" s="8" t="s">
        <v>14</v>
      </c>
      <c r="H286" s="8"/>
    </row>
    <row r="287">
      <c r="A287" s="6">
        <v>46154.0</v>
      </c>
      <c r="B287" s="8" t="s">
        <v>49</v>
      </c>
      <c r="C287" s="8"/>
      <c r="D287" s="10">
        <v>266.2</v>
      </c>
      <c r="E287" s="8" t="s">
        <v>50</v>
      </c>
      <c r="F287" s="8" t="s">
        <v>20</v>
      </c>
      <c r="G287" s="8" t="s">
        <v>14</v>
      </c>
      <c r="H287" s="8"/>
    </row>
    <row r="288">
      <c r="A288" s="6">
        <v>46152.0</v>
      </c>
      <c r="B288" s="8" t="s">
        <v>307</v>
      </c>
      <c r="C288" s="8"/>
      <c r="D288" s="10">
        <v>3.8</v>
      </c>
      <c r="E288" s="8" t="s">
        <v>19</v>
      </c>
      <c r="F288" s="8" t="s">
        <v>20</v>
      </c>
      <c r="G288" s="16" t="s">
        <v>21</v>
      </c>
      <c r="H288" s="16" t="s">
        <v>22</v>
      </c>
    </row>
    <row r="289">
      <c r="A289" s="6">
        <v>46152.0</v>
      </c>
      <c r="B289" s="8" t="s">
        <v>308</v>
      </c>
      <c r="C289" s="8"/>
      <c r="D289" s="10">
        <v>130.74</v>
      </c>
      <c r="E289" s="8" t="s">
        <v>309</v>
      </c>
      <c r="F289" s="8" t="s">
        <v>20</v>
      </c>
      <c r="G289" s="8" t="s">
        <v>310</v>
      </c>
      <c r="H289" s="8"/>
    </row>
    <row r="290">
      <c r="A290" s="6">
        <v>46152.0</v>
      </c>
      <c r="B290" s="8" t="s">
        <v>30</v>
      </c>
      <c r="C290" s="16" t="s">
        <v>271</v>
      </c>
      <c r="D290" s="10">
        <v>31.98</v>
      </c>
      <c r="E290" s="8" t="s">
        <v>32</v>
      </c>
      <c r="F290" s="8" t="s">
        <v>20</v>
      </c>
      <c r="G290" s="16" t="s">
        <v>26</v>
      </c>
      <c r="H290" s="8"/>
    </row>
    <row r="291">
      <c r="A291" s="6">
        <v>46152.0</v>
      </c>
      <c r="B291" s="8" t="s">
        <v>311</v>
      </c>
      <c r="C291" s="8"/>
      <c r="D291" s="10">
        <v>105.32</v>
      </c>
      <c r="E291" s="8" t="s">
        <v>268</v>
      </c>
      <c r="F291" s="8" t="s">
        <v>20</v>
      </c>
      <c r="G291" s="8" t="s">
        <v>14</v>
      </c>
      <c r="H291" s="8"/>
    </row>
    <row r="292">
      <c r="A292" s="6">
        <v>46152.0</v>
      </c>
      <c r="B292" s="8" t="s">
        <v>40</v>
      </c>
      <c r="C292" s="67" t="s">
        <v>294</v>
      </c>
      <c r="D292" s="10">
        <v>12.25</v>
      </c>
      <c r="E292" s="8" t="s">
        <v>208</v>
      </c>
      <c r="F292" s="16" t="s">
        <v>13</v>
      </c>
      <c r="G292" s="16" t="s">
        <v>29</v>
      </c>
      <c r="H292" s="8"/>
    </row>
    <row r="293">
      <c r="A293" s="6">
        <v>46152.0</v>
      </c>
      <c r="B293" s="8" t="s">
        <v>187</v>
      </c>
      <c r="C293" s="8"/>
      <c r="D293" s="10">
        <v>19.0</v>
      </c>
      <c r="E293" s="8" t="s">
        <v>188</v>
      </c>
      <c r="F293" s="8" t="s">
        <v>20</v>
      </c>
      <c r="G293" s="8" t="s">
        <v>26</v>
      </c>
      <c r="H293" s="8"/>
    </row>
    <row r="294">
      <c r="A294" s="6">
        <v>46150.0</v>
      </c>
      <c r="B294" s="8" t="s">
        <v>34</v>
      </c>
      <c r="C294" s="8"/>
      <c r="D294" s="10">
        <v>54.03</v>
      </c>
      <c r="E294" s="8" t="s">
        <v>35</v>
      </c>
      <c r="F294" s="8" t="s">
        <v>20</v>
      </c>
      <c r="G294" s="8" t="s">
        <v>29</v>
      </c>
      <c r="H294" s="8"/>
    </row>
    <row r="295">
      <c r="A295" s="6">
        <v>46150.0</v>
      </c>
      <c r="B295" s="8" t="s">
        <v>34</v>
      </c>
      <c r="C295" s="8"/>
      <c r="D295" s="10">
        <v>37.02</v>
      </c>
      <c r="E295" s="8" t="s">
        <v>35</v>
      </c>
      <c r="F295" s="8" t="s">
        <v>20</v>
      </c>
      <c r="G295" s="8" t="s">
        <v>29</v>
      </c>
      <c r="H295" s="8"/>
    </row>
    <row r="296">
      <c r="A296" s="6">
        <v>46147.0</v>
      </c>
      <c r="B296" s="8" t="s">
        <v>40</v>
      </c>
      <c r="C296" s="67" t="s">
        <v>299</v>
      </c>
      <c r="D296" s="10">
        <v>302.49</v>
      </c>
      <c r="E296" s="8" t="s">
        <v>208</v>
      </c>
      <c r="F296" s="16" t="s">
        <v>13</v>
      </c>
      <c r="G296" s="16" t="s">
        <v>29</v>
      </c>
      <c r="H296" s="16" t="s">
        <v>300</v>
      </c>
    </row>
    <row r="297">
      <c r="A297" s="6">
        <v>46146.0</v>
      </c>
      <c r="B297" s="8" t="s">
        <v>312</v>
      </c>
      <c r="C297" s="8"/>
      <c r="D297" s="10">
        <v>1.88</v>
      </c>
      <c r="E297" s="8" t="s">
        <v>19</v>
      </c>
      <c r="F297" s="8" t="s">
        <v>20</v>
      </c>
      <c r="G297" s="16" t="s">
        <v>21</v>
      </c>
      <c r="H297" s="16" t="s">
        <v>22</v>
      </c>
    </row>
    <row r="298">
      <c r="A298" s="6">
        <v>46146.0</v>
      </c>
      <c r="B298" s="8" t="s">
        <v>314</v>
      </c>
      <c r="C298" s="8"/>
      <c r="D298" s="10">
        <v>64.66</v>
      </c>
      <c r="E298" s="8" t="s">
        <v>315</v>
      </c>
      <c r="F298" s="8" t="s">
        <v>13</v>
      </c>
      <c r="G298" s="8" t="s">
        <v>26</v>
      </c>
      <c r="H298" s="8"/>
    </row>
    <row r="299">
      <c r="A299" s="6">
        <v>46146.0</v>
      </c>
      <c r="B299" s="8" t="s">
        <v>221</v>
      </c>
      <c r="C299" s="8"/>
      <c r="D299" s="10">
        <v>5.09</v>
      </c>
      <c r="E299" s="8" t="s">
        <v>19</v>
      </c>
      <c r="F299" s="8" t="s">
        <v>20</v>
      </c>
      <c r="G299" s="16" t="s">
        <v>21</v>
      </c>
      <c r="H299" s="16" t="s">
        <v>22</v>
      </c>
    </row>
    <row r="300">
      <c r="A300" s="6">
        <v>46146.0</v>
      </c>
      <c r="B300" s="8" t="s">
        <v>284</v>
      </c>
      <c r="C300" s="8"/>
      <c r="D300" s="10">
        <v>175.08</v>
      </c>
      <c r="E300" s="8" t="s">
        <v>71</v>
      </c>
      <c r="F300" s="8" t="s">
        <v>20</v>
      </c>
      <c r="G300" s="8" t="s">
        <v>29</v>
      </c>
      <c r="H300" s="8"/>
    </row>
    <row r="301">
      <c r="A301" s="6">
        <v>46145.0</v>
      </c>
      <c r="B301" s="8" t="s">
        <v>30</v>
      </c>
      <c r="C301" s="27" t="s">
        <v>316</v>
      </c>
      <c r="D301" s="10">
        <v>54.99</v>
      </c>
      <c r="E301" s="8" t="s">
        <v>32</v>
      </c>
      <c r="F301" s="16" t="s">
        <v>13</v>
      </c>
      <c r="G301" s="16" t="s">
        <v>26</v>
      </c>
      <c r="H301" s="8"/>
    </row>
    <row r="302">
      <c r="A302" s="6">
        <v>46145.0</v>
      </c>
      <c r="B302" s="8" t="s">
        <v>317</v>
      </c>
      <c r="C302" s="8"/>
      <c r="D302" s="10">
        <v>109.34</v>
      </c>
      <c r="E302" s="8" t="s">
        <v>318</v>
      </c>
      <c r="F302" s="8" t="s">
        <v>13</v>
      </c>
      <c r="G302" s="8" t="s">
        <v>26</v>
      </c>
      <c r="H302" s="8"/>
    </row>
    <row r="303">
      <c r="A303" s="6">
        <v>46145.0</v>
      </c>
      <c r="B303" s="8" t="s">
        <v>40</v>
      </c>
      <c r="C303" s="67" t="s">
        <v>207</v>
      </c>
      <c r="D303" s="10">
        <v>121.75</v>
      </c>
      <c r="E303" s="8" t="s">
        <v>208</v>
      </c>
      <c r="F303" s="16" t="s">
        <v>13</v>
      </c>
      <c r="G303" s="16" t="s">
        <v>26</v>
      </c>
      <c r="H303" s="96" t="s">
        <v>261</v>
      </c>
    </row>
    <row r="304">
      <c r="A304" s="6">
        <v>46145.0</v>
      </c>
      <c r="B304" s="8" t="s">
        <v>287</v>
      </c>
      <c r="C304" s="8"/>
      <c r="D304" s="10">
        <v>80.95</v>
      </c>
      <c r="E304" s="8" t="s">
        <v>288</v>
      </c>
      <c r="F304" s="8" t="s">
        <v>13</v>
      </c>
      <c r="G304" s="8" t="s">
        <v>26</v>
      </c>
      <c r="H304" s="8"/>
    </row>
    <row r="305">
      <c r="A305" s="6">
        <v>46144.0</v>
      </c>
      <c r="B305" s="8" t="s">
        <v>59</v>
      </c>
      <c r="C305" s="8"/>
      <c r="D305" s="10">
        <v>0.8</v>
      </c>
      <c r="E305" s="8" t="s">
        <v>60</v>
      </c>
      <c r="F305" s="8" t="s">
        <v>20</v>
      </c>
      <c r="G305" s="8" t="s">
        <v>26</v>
      </c>
      <c r="H305" s="8"/>
    </row>
    <row r="306">
      <c r="A306" s="6">
        <v>46143.0</v>
      </c>
      <c r="B306" s="8" t="s">
        <v>317</v>
      </c>
      <c r="C306" s="8"/>
      <c r="D306" s="10">
        <v>81.08</v>
      </c>
      <c r="E306" s="8" t="s">
        <v>318</v>
      </c>
      <c r="F306" s="8" t="s">
        <v>13</v>
      </c>
      <c r="G306" s="8" t="s">
        <v>26</v>
      </c>
      <c r="H306" s="8"/>
    </row>
    <row r="307">
      <c r="A307" s="6">
        <v>46143.0</v>
      </c>
      <c r="B307" s="8" t="s">
        <v>320</v>
      </c>
      <c r="C307" s="8"/>
      <c r="D307" s="10">
        <v>1.5</v>
      </c>
      <c r="E307" s="8" t="s">
        <v>19</v>
      </c>
      <c r="F307" s="8" t="s">
        <v>20</v>
      </c>
      <c r="G307" s="16" t="s">
        <v>21</v>
      </c>
      <c r="H307" s="16" t="s">
        <v>22</v>
      </c>
    </row>
    <row r="308">
      <c r="A308" s="6">
        <v>46143.0</v>
      </c>
      <c r="B308" s="8" t="s">
        <v>321</v>
      </c>
      <c r="C308" s="8"/>
      <c r="D308" s="10">
        <v>51.5</v>
      </c>
      <c r="E308" s="8" t="s">
        <v>322</v>
      </c>
      <c r="F308" s="8" t="s">
        <v>13</v>
      </c>
      <c r="G308" s="8" t="s">
        <v>26</v>
      </c>
      <c r="H308" s="8"/>
    </row>
    <row r="309">
      <c r="A309" s="6">
        <v>46143.0</v>
      </c>
      <c r="B309" s="8" t="s">
        <v>61</v>
      </c>
      <c r="C309" s="8"/>
      <c r="D309" s="10">
        <v>25.96</v>
      </c>
      <c r="E309" s="8" t="s">
        <v>62</v>
      </c>
      <c r="F309" s="8" t="s">
        <v>20</v>
      </c>
      <c r="G309" s="8" t="s">
        <v>26</v>
      </c>
      <c r="H309" s="8"/>
    </row>
    <row r="310">
      <c r="A310" s="6">
        <v>46143.0</v>
      </c>
      <c r="B310" s="8" t="s">
        <v>40</v>
      </c>
      <c r="C310" s="67" t="s">
        <v>323</v>
      </c>
      <c r="D310" s="10">
        <v>59.8</v>
      </c>
      <c r="E310" s="8" t="s">
        <v>208</v>
      </c>
      <c r="F310" s="16" t="s">
        <v>13</v>
      </c>
      <c r="G310" s="16" t="s">
        <v>29</v>
      </c>
      <c r="H310" s="16" t="s">
        <v>324</v>
      </c>
    </row>
    <row r="311">
      <c r="A311" s="6">
        <v>46142.0</v>
      </c>
      <c r="B311" s="8" t="s">
        <v>51</v>
      </c>
      <c r="C311" s="8"/>
      <c r="D311" s="10">
        <v>123.06</v>
      </c>
      <c r="E311" s="8" t="s">
        <v>52</v>
      </c>
      <c r="F311" s="8" t="s">
        <v>13</v>
      </c>
      <c r="G311" s="8" t="s">
        <v>29</v>
      </c>
      <c r="H311" s="8"/>
    </row>
    <row r="312">
      <c r="A312" s="6">
        <v>46142.0</v>
      </c>
      <c r="B312" s="8" t="s">
        <v>326</v>
      </c>
      <c r="C312" s="8"/>
      <c r="D312" s="10">
        <v>0.84</v>
      </c>
      <c r="E312" s="8" t="s">
        <v>19</v>
      </c>
      <c r="F312" s="8" t="s">
        <v>20</v>
      </c>
      <c r="G312" s="16" t="s">
        <v>21</v>
      </c>
      <c r="H312" s="16" t="s">
        <v>22</v>
      </c>
    </row>
    <row r="313">
      <c r="A313" s="6">
        <v>46142.0</v>
      </c>
      <c r="B313" s="8" t="s">
        <v>89</v>
      </c>
      <c r="C313" s="8"/>
      <c r="D313" s="10">
        <v>28.95</v>
      </c>
      <c r="E313" s="8" t="s">
        <v>38</v>
      </c>
      <c r="F313" s="8" t="s">
        <v>20</v>
      </c>
      <c r="G313" s="8" t="s">
        <v>26</v>
      </c>
      <c r="H313" s="8"/>
    </row>
    <row r="314">
      <c r="A314" s="6">
        <v>46141.0</v>
      </c>
      <c r="B314" s="8" t="s">
        <v>55</v>
      </c>
      <c r="C314" s="16" t="s">
        <v>327</v>
      </c>
      <c r="D314" s="10">
        <v>14.99</v>
      </c>
      <c r="E314" s="16" t="s">
        <v>258</v>
      </c>
      <c r="F314" s="16" t="s">
        <v>13</v>
      </c>
      <c r="G314" s="16" t="s">
        <v>26</v>
      </c>
      <c r="H314" s="8"/>
    </row>
    <row r="315">
      <c r="A315" s="6">
        <v>46141.0</v>
      </c>
      <c r="B315" s="8" t="s">
        <v>30</v>
      </c>
      <c r="C315" s="16" t="s">
        <v>31</v>
      </c>
      <c r="D315" s="10">
        <v>8.99</v>
      </c>
      <c r="E315" s="8" t="s">
        <v>32</v>
      </c>
      <c r="F315" s="8" t="s">
        <v>20</v>
      </c>
      <c r="G315" s="16" t="s">
        <v>26</v>
      </c>
      <c r="H315" s="8"/>
    </row>
    <row r="316">
      <c r="A316" s="6">
        <v>46141.0</v>
      </c>
      <c r="B316" s="8" t="s">
        <v>328</v>
      </c>
      <c r="C316" s="8"/>
      <c r="D316" s="10">
        <v>-14.0</v>
      </c>
      <c r="E316" s="8" t="s">
        <v>329</v>
      </c>
      <c r="F316" s="8"/>
      <c r="G316" s="8" t="s">
        <v>144</v>
      </c>
      <c r="H316" s="8" t="s">
        <v>264</v>
      </c>
    </row>
    <row r="317">
      <c r="A317" s="6">
        <v>46141.0</v>
      </c>
      <c r="B317" s="8" t="s">
        <v>55</v>
      </c>
      <c r="C317" s="16" t="s">
        <v>327</v>
      </c>
      <c r="D317" s="10">
        <v>26.98</v>
      </c>
      <c r="E317" s="16" t="s">
        <v>258</v>
      </c>
      <c r="F317" s="16" t="s">
        <v>13</v>
      </c>
      <c r="G317" s="16" t="s">
        <v>26</v>
      </c>
      <c r="H317" s="8"/>
    </row>
    <row r="318">
      <c r="A318" s="6">
        <v>46141.0</v>
      </c>
      <c r="B318" s="8" t="s">
        <v>49</v>
      </c>
      <c r="C318" s="8"/>
      <c r="D318" s="10">
        <v>265.95</v>
      </c>
      <c r="E318" s="8" t="s">
        <v>50</v>
      </c>
      <c r="F318" s="8" t="s">
        <v>20</v>
      </c>
      <c r="G318" s="8" t="s">
        <v>14</v>
      </c>
      <c r="H318" s="8"/>
    </row>
    <row r="319">
      <c r="A319" s="6">
        <v>46140.0</v>
      </c>
      <c r="B319" s="8" t="s">
        <v>330</v>
      </c>
      <c r="C319" s="8"/>
      <c r="D319" s="10">
        <v>1889.94</v>
      </c>
      <c r="E319" s="8" t="s">
        <v>331</v>
      </c>
      <c r="F319" s="8" t="s">
        <v>13</v>
      </c>
      <c r="G319" s="8" t="s">
        <v>29</v>
      </c>
      <c r="H319" s="8"/>
    </row>
    <row r="320">
      <c r="A320" s="6">
        <v>46140.0</v>
      </c>
      <c r="B320" s="8" t="s">
        <v>30</v>
      </c>
      <c r="C320" s="27" t="s">
        <v>92</v>
      </c>
      <c r="D320" s="10">
        <v>24.95</v>
      </c>
      <c r="E320" s="8" t="s">
        <v>32</v>
      </c>
      <c r="F320" s="8" t="s">
        <v>20</v>
      </c>
      <c r="G320" s="16" t="s">
        <v>26</v>
      </c>
      <c r="H320" s="8"/>
    </row>
    <row r="321">
      <c r="A321" s="6">
        <v>46140.0</v>
      </c>
      <c r="B321" s="8" t="s">
        <v>30</v>
      </c>
      <c r="C321" s="27" t="s">
        <v>91</v>
      </c>
      <c r="D321" s="10">
        <v>14.99</v>
      </c>
      <c r="E321" s="8" t="s">
        <v>32</v>
      </c>
      <c r="F321" s="8" t="s">
        <v>20</v>
      </c>
      <c r="G321" s="16" t="s">
        <v>29</v>
      </c>
      <c r="H321" s="8"/>
    </row>
    <row r="322">
      <c r="A322" s="6">
        <v>46140.0</v>
      </c>
      <c r="B322" s="8" t="s">
        <v>47</v>
      </c>
      <c r="C322" s="8"/>
      <c r="D322" s="10">
        <v>20.19</v>
      </c>
      <c r="E322" s="8" t="s">
        <v>48</v>
      </c>
      <c r="F322" s="8" t="s">
        <v>20</v>
      </c>
      <c r="G322" s="8" t="s">
        <v>26</v>
      </c>
      <c r="H322" s="8"/>
    </row>
    <row r="323">
      <c r="A323" s="6">
        <v>46139.0</v>
      </c>
      <c r="B323" s="8" t="s">
        <v>333</v>
      </c>
      <c r="C323" s="8"/>
      <c r="D323" s="10">
        <v>220.0</v>
      </c>
      <c r="E323" s="8" t="s">
        <v>334</v>
      </c>
      <c r="F323" s="8" t="s">
        <v>13</v>
      </c>
      <c r="G323" s="8" t="s">
        <v>26</v>
      </c>
      <c r="H323" s="8"/>
    </row>
    <row r="324">
      <c r="A324" s="6">
        <v>46139.0</v>
      </c>
      <c r="B324" s="8" t="s">
        <v>98</v>
      </c>
      <c r="C324" s="8"/>
      <c r="D324" s="10">
        <v>194.32</v>
      </c>
      <c r="E324" s="8" t="s">
        <v>99</v>
      </c>
      <c r="F324" s="8" t="s">
        <v>20</v>
      </c>
      <c r="G324" s="8" t="s">
        <v>14</v>
      </c>
      <c r="H324" s="8"/>
    </row>
    <row r="325">
      <c r="A325" s="6">
        <v>46139.0</v>
      </c>
      <c r="B325" s="8" t="s">
        <v>47</v>
      </c>
      <c r="C325" s="8"/>
      <c r="D325" s="10">
        <v>20.19</v>
      </c>
      <c r="E325" s="8" t="s">
        <v>48</v>
      </c>
      <c r="F325" s="8" t="s">
        <v>20</v>
      </c>
      <c r="G325" s="8" t="s">
        <v>26</v>
      </c>
      <c r="H325" s="8"/>
    </row>
    <row r="326">
      <c r="A326" s="6">
        <v>46139.0</v>
      </c>
      <c r="B326" s="8" t="s">
        <v>107</v>
      </c>
      <c r="C326" s="8"/>
      <c r="D326" s="10">
        <v>82.9</v>
      </c>
      <c r="E326" s="8" t="s">
        <v>108</v>
      </c>
      <c r="F326" s="8" t="s">
        <v>20</v>
      </c>
      <c r="G326" s="8" t="s">
        <v>29</v>
      </c>
      <c r="H326" s="8"/>
    </row>
    <row r="327">
      <c r="A327" s="6">
        <v>46138.0</v>
      </c>
      <c r="B327" s="8" t="s">
        <v>30</v>
      </c>
      <c r="C327" s="16" t="s">
        <v>109</v>
      </c>
      <c r="D327" s="10">
        <v>12.99</v>
      </c>
      <c r="E327" s="8" t="s">
        <v>32</v>
      </c>
      <c r="F327" s="8" t="s">
        <v>20</v>
      </c>
      <c r="G327" s="16" t="s">
        <v>26</v>
      </c>
      <c r="H327" s="8"/>
    </row>
    <row r="328">
      <c r="A328" s="6">
        <v>46138.0</v>
      </c>
      <c r="B328" s="8" t="s">
        <v>66</v>
      </c>
      <c r="C328" s="8"/>
      <c r="D328" s="10">
        <v>96.5</v>
      </c>
      <c r="E328" s="8" t="s">
        <v>68</v>
      </c>
      <c r="F328" s="8" t="s">
        <v>20</v>
      </c>
      <c r="G328" s="8" t="s">
        <v>26</v>
      </c>
      <c r="H328" s="8"/>
    </row>
    <row r="329">
      <c r="A329" s="6">
        <v>46138.0</v>
      </c>
      <c r="B329" s="8" t="s">
        <v>40</v>
      </c>
      <c r="C329" s="67" t="s">
        <v>294</v>
      </c>
      <c r="D329" s="10">
        <v>12.25</v>
      </c>
      <c r="E329" s="8" t="s">
        <v>208</v>
      </c>
      <c r="F329" s="16" t="s">
        <v>13</v>
      </c>
      <c r="G329" s="16" t="s">
        <v>29</v>
      </c>
      <c r="H329" s="8"/>
    </row>
    <row r="330">
      <c r="A330" s="6">
        <v>46138.0</v>
      </c>
      <c r="B330" s="8" t="s">
        <v>47</v>
      </c>
      <c r="C330" s="8"/>
      <c r="D330" s="10">
        <v>20.19</v>
      </c>
      <c r="E330" s="8" t="s">
        <v>48</v>
      </c>
      <c r="F330" s="8" t="s">
        <v>20</v>
      </c>
      <c r="G330" s="8" t="s">
        <v>26</v>
      </c>
      <c r="H330" s="8"/>
    </row>
    <row r="331">
      <c r="A331" s="6">
        <v>46137.0</v>
      </c>
      <c r="B331" s="8" t="s">
        <v>30</v>
      </c>
      <c r="C331" s="27" t="s">
        <v>91</v>
      </c>
      <c r="D331" s="10">
        <v>14.99</v>
      </c>
      <c r="E331" s="8" t="s">
        <v>32</v>
      </c>
      <c r="F331" s="8" t="s">
        <v>20</v>
      </c>
      <c r="G331" s="16" t="s">
        <v>29</v>
      </c>
      <c r="H331" s="8"/>
    </row>
    <row r="332">
      <c r="A332" s="6">
        <v>46137.0</v>
      </c>
      <c r="B332" s="8" t="s">
        <v>112</v>
      </c>
      <c r="C332" s="8"/>
      <c r="D332" s="10">
        <v>15.99</v>
      </c>
      <c r="E332" s="8" t="s">
        <v>113</v>
      </c>
      <c r="F332" s="8" t="s">
        <v>20</v>
      </c>
      <c r="G332" s="8" t="s">
        <v>26</v>
      </c>
      <c r="H332" s="8"/>
    </row>
    <row r="333">
      <c r="A333" s="6">
        <v>46137.0</v>
      </c>
      <c r="B333" s="8" t="s">
        <v>119</v>
      </c>
      <c r="C333" s="8"/>
      <c r="D333" s="10">
        <v>573.87</v>
      </c>
      <c r="E333" s="8" t="s">
        <v>120</v>
      </c>
      <c r="F333" s="8" t="s">
        <v>13</v>
      </c>
      <c r="G333" s="8" t="s">
        <v>14</v>
      </c>
      <c r="H333" s="8"/>
    </row>
    <row r="334">
      <c r="A334" s="6">
        <v>46135.0</v>
      </c>
      <c r="B334" s="8" t="s">
        <v>336</v>
      </c>
      <c r="C334" s="8"/>
      <c r="D334" s="10">
        <v>64.0</v>
      </c>
      <c r="E334" s="8" t="s">
        <v>337</v>
      </c>
      <c r="F334" s="8" t="s">
        <v>13</v>
      </c>
      <c r="G334" s="8" t="s">
        <v>26</v>
      </c>
      <c r="H334" s="8"/>
    </row>
    <row r="335">
      <c r="A335" s="6">
        <v>46135.0</v>
      </c>
      <c r="B335" s="8" t="s">
        <v>161</v>
      </c>
      <c r="C335" s="8"/>
      <c r="D335" s="10">
        <v>438.0</v>
      </c>
      <c r="E335" s="8" t="s">
        <v>162</v>
      </c>
      <c r="F335" s="8" t="s">
        <v>20</v>
      </c>
      <c r="G335" s="8" t="s">
        <v>29</v>
      </c>
      <c r="H335" s="8"/>
    </row>
    <row r="336">
      <c r="A336" s="6">
        <v>46135.0</v>
      </c>
      <c r="B336" s="8" t="s">
        <v>295</v>
      </c>
      <c r="C336" s="8"/>
      <c r="D336" s="10">
        <v>1.0</v>
      </c>
      <c r="E336" s="8" t="s">
        <v>73</v>
      </c>
      <c r="F336" s="8" t="s">
        <v>13</v>
      </c>
      <c r="G336" s="8" t="s">
        <v>29</v>
      </c>
      <c r="H336" s="8"/>
    </row>
    <row r="337">
      <c r="A337" s="6">
        <v>46134.0</v>
      </c>
      <c r="B337" s="8" t="s">
        <v>30</v>
      </c>
      <c r="C337" s="27" t="s">
        <v>121</v>
      </c>
      <c r="D337" s="10">
        <v>8.49</v>
      </c>
      <c r="E337" s="8" t="s">
        <v>32</v>
      </c>
      <c r="F337" s="8" t="s">
        <v>20</v>
      </c>
      <c r="G337" s="16" t="s">
        <v>29</v>
      </c>
      <c r="H337" s="8"/>
    </row>
    <row r="338">
      <c r="A338" s="6">
        <v>46134.0</v>
      </c>
      <c r="B338" s="8" t="s">
        <v>146</v>
      </c>
      <c r="C338" s="8"/>
      <c r="D338" s="10">
        <v>42.97</v>
      </c>
      <c r="E338" s="8" t="s">
        <v>147</v>
      </c>
      <c r="F338" s="8" t="s">
        <v>20</v>
      </c>
      <c r="G338" s="8" t="s">
        <v>14</v>
      </c>
      <c r="H338" s="8"/>
    </row>
    <row r="339">
      <c r="A339" s="6">
        <v>46134.0</v>
      </c>
      <c r="B339" s="8" t="s">
        <v>133</v>
      </c>
      <c r="C339" s="8"/>
      <c r="D339" s="10">
        <v>416.54</v>
      </c>
      <c r="E339" s="8" t="s">
        <v>134</v>
      </c>
      <c r="F339" s="8" t="s">
        <v>20</v>
      </c>
      <c r="G339" s="8" t="s">
        <v>14</v>
      </c>
      <c r="H339" s="8"/>
    </row>
    <row r="340">
      <c r="A340" s="6">
        <v>46134.0</v>
      </c>
      <c r="B340" s="8" t="s">
        <v>338</v>
      </c>
      <c r="C340" s="8"/>
      <c r="D340" s="10">
        <v>35.42</v>
      </c>
      <c r="E340" s="8" t="s">
        <v>339</v>
      </c>
      <c r="F340" s="8" t="s">
        <v>13</v>
      </c>
      <c r="G340" s="8" t="s">
        <v>26</v>
      </c>
      <c r="H340" s="8"/>
    </row>
    <row r="341">
      <c r="A341" s="6">
        <v>46133.0</v>
      </c>
      <c r="B341" s="8" t="s">
        <v>40</v>
      </c>
      <c r="C341" s="67" t="s">
        <v>299</v>
      </c>
      <c r="D341" s="10">
        <v>302.49</v>
      </c>
      <c r="E341" s="8" t="s">
        <v>208</v>
      </c>
      <c r="F341" s="16" t="s">
        <v>13</v>
      </c>
      <c r="G341" s="16" t="s">
        <v>29</v>
      </c>
      <c r="H341" s="16" t="s">
        <v>300</v>
      </c>
    </row>
    <row r="342">
      <c r="A342" s="6">
        <v>46133.0</v>
      </c>
      <c r="B342" s="8" t="s">
        <v>340</v>
      </c>
      <c r="C342" s="8"/>
      <c r="D342" s="10">
        <v>12.99</v>
      </c>
      <c r="E342" s="8" t="s">
        <v>341</v>
      </c>
      <c r="F342" s="8" t="s">
        <v>13</v>
      </c>
      <c r="G342" s="8" t="s">
        <v>29</v>
      </c>
      <c r="H342" s="8"/>
    </row>
    <row r="343">
      <c r="A343" s="6">
        <v>46133.0</v>
      </c>
      <c r="B343" s="8" t="s">
        <v>49</v>
      </c>
      <c r="C343" s="8"/>
      <c r="D343" s="10">
        <v>265.83</v>
      </c>
      <c r="E343" s="8" t="s">
        <v>50</v>
      </c>
      <c r="F343" s="8" t="s">
        <v>20</v>
      </c>
      <c r="G343" s="8" t="s">
        <v>14</v>
      </c>
      <c r="H343" s="8"/>
    </row>
    <row r="344">
      <c r="A344" s="6">
        <v>46132.0</v>
      </c>
      <c r="B344" s="8" t="s">
        <v>343</v>
      </c>
      <c r="C344" s="8"/>
      <c r="D344" s="10">
        <v>0.0</v>
      </c>
      <c r="E344" s="8" t="s">
        <v>143</v>
      </c>
      <c r="F344" s="8"/>
      <c r="G344" s="8" t="s">
        <v>144</v>
      </c>
      <c r="H344" s="8" t="s">
        <v>145</v>
      </c>
    </row>
    <row r="345">
      <c r="A345" s="6">
        <v>46131.0</v>
      </c>
      <c r="B345" s="8" t="s">
        <v>34</v>
      </c>
      <c r="C345" s="8"/>
      <c r="D345" s="10">
        <v>9.99</v>
      </c>
      <c r="E345" s="8" t="s">
        <v>35</v>
      </c>
      <c r="F345" s="8" t="s">
        <v>20</v>
      </c>
      <c r="G345" s="8" t="s">
        <v>29</v>
      </c>
      <c r="H345" s="8"/>
    </row>
    <row r="346">
      <c r="A346" s="6">
        <v>46131.0</v>
      </c>
      <c r="B346" s="8" t="s">
        <v>135</v>
      </c>
      <c r="C346" s="8"/>
      <c r="D346" s="10">
        <v>223.95</v>
      </c>
      <c r="E346" s="8" t="s">
        <v>136</v>
      </c>
      <c r="F346" s="8" t="s">
        <v>20</v>
      </c>
      <c r="G346" s="8" t="s">
        <v>14</v>
      </c>
      <c r="H346" s="8"/>
    </row>
    <row r="347">
      <c r="A347" s="6">
        <v>46129.0</v>
      </c>
      <c r="B347" s="8" t="s">
        <v>40</v>
      </c>
      <c r="C347" s="67" t="s">
        <v>323</v>
      </c>
      <c r="D347" s="10">
        <v>59.8</v>
      </c>
      <c r="E347" s="8" t="s">
        <v>208</v>
      </c>
      <c r="F347" s="16" t="s">
        <v>13</v>
      </c>
      <c r="G347" s="16" t="s">
        <v>29</v>
      </c>
      <c r="H347" s="16" t="s">
        <v>324</v>
      </c>
    </row>
    <row r="348">
      <c r="A348" s="6">
        <v>46129.0</v>
      </c>
      <c r="B348" s="8" t="s">
        <v>344</v>
      </c>
      <c r="C348" s="8"/>
      <c r="D348" s="10">
        <v>22.69</v>
      </c>
      <c r="E348" s="8" t="s">
        <v>181</v>
      </c>
      <c r="F348" s="8" t="s">
        <v>20</v>
      </c>
      <c r="G348" s="8" t="s">
        <v>14</v>
      </c>
      <c r="H348" s="8"/>
    </row>
    <row r="349">
      <c r="A349" s="6">
        <v>46128.0</v>
      </c>
      <c r="B349" s="8" t="s">
        <v>148</v>
      </c>
      <c r="C349" s="8"/>
      <c r="D349" s="10">
        <v>0.56</v>
      </c>
      <c r="E349" s="8" t="s">
        <v>19</v>
      </c>
      <c r="F349" s="8" t="s">
        <v>20</v>
      </c>
      <c r="G349" s="16" t="s">
        <v>21</v>
      </c>
      <c r="H349" s="16" t="s">
        <v>22</v>
      </c>
    </row>
    <row r="350">
      <c r="A350" s="6">
        <v>46128.0</v>
      </c>
      <c r="B350" s="8" t="s">
        <v>149</v>
      </c>
      <c r="C350" s="8"/>
      <c r="D350" s="10">
        <v>19.55</v>
      </c>
      <c r="E350" s="8" t="s">
        <v>150</v>
      </c>
      <c r="F350" s="8" t="s">
        <v>20</v>
      </c>
      <c r="G350" s="8" t="s">
        <v>26</v>
      </c>
      <c r="H350" s="8"/>
    </row>
    <row r="351">
      <c r="A351" s="6">
        <v>46127.0</v>
      </c>
      <c r="B351" s="8" t="s">
        <v>30</v>
      </c>
      <c r="C351" s="16" t="s">
        <v>271</v>
      </c>
      <c r="D351" s="10">
        <v>31.98</v>
      </c>
      <c r="E351" s="8" t="s">
        <v>32</v>
      </c>
      <c r="F351" s="8" t="s">
        <v>20</v>
      </c>
      <c r="G351" s="16" t="s">
        <v>26</v>
      </c>
      <c r="H351" s="8"/>
    </row>
    <row r="352">
      <c r="A352" s="6">
        <v>46127.0</v>
      </c>
      <c r="B352" s="8" t="s">
        <v>66</v>
      </c>
      <c r="C352" s="8"/>
      <c r="D352" s="10">
        <v>43.66</v>
      </c>
      <c r="E352" s="8" t="s">
        <v>68</v>
      </c>
      <c r="F352" s="8" t="s">
        <v>20</v>
      </c>
      <c r="G352" s="8" t="s">
        <v>26</v>
      </c>
      <c r="H352" s="8"/>
    </row>
    <row r="353">
      <c r="A353" s="6">
        <v>46127.0</v>
      </c>
      <c r="B353" s="8" t="s">
        <v>346</v>
      </c>
      <c r="C353" s="8"/>
      <c r="D353" s="10">
        <v>0.29</v>
      </c>
      <c r="E353" s="8" t="s">
        <v>19</v>
      </c>
      <c r="F353" s="8" t="s">
        <v>20</v>
      </c>
      <c r="G353" s="16" t="s">
        <v>21</v>
      </c>
      <c r="H353" s="16" t="s">
        <v>22</v>
      </c>
    </row>
    <row r="354">
      <c r="A354" s="6">
        <v>46127.0</v>
      </c>
      <c r="B354" s="8" t="s">
        <v>168</v>
      </c>
      <c r="C354" s="8"/>
      <c r="D354" s="10">
        <v>10.21</v>
      </c>
      <c r="E354" s="8" t="s">
        <v>169</v>
      </c>
      <c r="F354" s="8" t="s">
        <v>20</v>
      </c>
      <c r="G354" s="8" t="s">
        <v>26</v>
      </c>
      <c r="H354" s="8"/>
    </row>
    <row r="355">
      <c r="A355" s="6">
        <v>46126.0</v>
      </c>
      <c r="B355" s="8" t="s">
        <v>347</v>
      </c>
      <c r="C355" s="8"/>
      <c r="D355" s="10">
        <v>20.99</v>
      </c>
      <c r="E355" s="8" t="s">
        <v>172</v>
      </c>
      <c r="F355" s="8" t="s">
        <v>20</v>
      </c>
      <c r="G355" s="8" t="s">
        <v>14</v>
      </c>
      <c r="H355" s="8"/>
    </row>
    <row r="356">
      <c r="A356" s="6">
        <v>46126.0</v>
      </c>
      <c r="B356" s="8" t="s">
        <v>34</v>
      </c>
      <c r="C356" s="8"/>
      <c r="D356" s="10">
        <v>43.84</v>
      </c>
      <c r="E356" s="8" t="s">
        <v>35</v>
      </c>
      <c r="F356" s="8" t="s">
        <v>20</v>
      </c>
      <c r="G356" s="8" t="s">
        <v>29</v>
      </c>
      <c r="H356" s="8"/>
    </row>
    <row r="357">
      <c r="A357" s="6">
        <v>46126.0</v>
      </c>
      <c r="B357" s="8" t="s">
        <v>178</v>
      </c>
      <c r="C357" s="8"/>
      <c r="D357" s="10">
        <v>2.99</v>
      </c>
      <c r="E357" s="8" t="s">
        <v>179</v>
      </c>
      <c r="F357" s="8" t="s">
        <v>20</v>
      </c>
      <c r="G357" s="8" t="s">
        <v>29</v>
      </c>
      <c r="H357" s="8"/>
    </row>
    <row r="358">
      <c r="A358" s="6">
        <v>46126.0</v>
      </c>
      <c r="B358" s="8" t="s">
        <v>176</v>
      </c>
      <c r="C358" s="8"/>
      <c r="D358" s="10">
        <v>20.99</v>
      </c>
      <c r="E358" s="8" t="s">
        <v>177</v>
      </c>
      <c r="F358" s="8" t="s">
        <v>20</v>
      </c>
      <c r="G358" s="8" t="s">
        <v>26</v>
      </c>
      <c r="H358" s="8"/>
    </row>
    <row r="359">
      <c r="A359" s="6">
        <v>46126.0</v>
      </c>
      <c r="B359" s="8" t="s">
        <v>49</v>
      </c>
      <c r="C359" s="8"/>
      <c r="D359" s="10">
        <v>531.79</v>
      </c>
      <c r="E359" s="8" t="s">
        <v>50</v>
      </c>
      <c r="F359" s="8" t="s">
        <v>20</v>
      </c>
      <c r="G359" s="8" t="s">
        <v>14</v>
      </c>
      <c r="H359" s="8"/>
    </row>
    <row r="360">
      <c r="A360" s="6">
        <v>46125.0</v>
      </c>
      <c r="B360" s="8" t="s">
        <v>66</v>
      </c>
      <c r="C360" s="8"/>
      <c r="D360" s="10">
        <v>26.47</v>
      </c>
      <c r="E360" s="8" t="s">
        <v>68</v>
      </c>
      <c r="F360" s="8" t="s">
        <v>20</v>
      </c>
      <c r="G360" s="8" t="s">
        <v>26</v>
      </c>
      <c r="H360" s="8"/>
    </row>
    <row r="361">
      <c r="A361" s="6">
        <v>46125.0</v>
      </c>
      <c r="B361" s="8" t="s">
        <v>348</v>
      </c>
      <c r="C361" s="8"/>
      <c r="D361" s="10">
        <v>87.0</v>
      </c>
      <c r="E361" s="8" t="s">
        <v>349</v>
      </c>
      <c r="F361" s="8" t="s">
        <v>13</v>
      </c>
      <c r="G361" s="8" t="s">
        <v>26</v>
      </c>
      <c r="H361" s="8"/>
    </row>
    <row r="362">
      <c r="A362" s="6">
        <v>46125.0</v>
      </c>
      <c r="B362" s="8" t="s">
        <v>180</v>
      </c>
      <c r="C362" s="8"/>
      <c r="D362" s="10">
        <v>13.99</v>
      </c>
      <c r="E362" s="8" t="s">
        <v>181</v>
      </c>
      <c r="F362" s="8" t="s">
        <v>20</v>
      </c>
      <c r="G362" s="8" t="s">
        <v>14</v>
      </c>
      <c r="H362" s="8"/>
    </row>
    <row r="363">
      <c r="A363" s="6">
        <v>46124.0</v>
      </c>
      <c r="B363" s="8" t="s">
        <v>40</v>
      </c>
      <c r="C363" s="67" t="s">
        <v>294</v>
      </c>
      <c r="D363" s="10">
        <v>12.25</v>
      </c>
      <c r="E363" s="8" t="s">
        <v>208</v>
      </c>
      <c r="F363" s="16" t="s">
        <v>13</v>
      </c>
      <c r="G363" s="16" t="s">
        <v>29</v>
      </c>
      <c r="H363" s="8"/>
    </row>
    <row r="364">
      <c r="A364" s="6">
        <v>46122.0</v>
      </c>
      <c r="B364" s="8" t="s">
        <v>187</v>
      </c>
      <c r="C364" s="8"/>
      <c r="D364" s="10">
        <v>19.0</v>
      </c>
      <c r="E364" s="8" t="s">
        <v>188</v>
      </c>
      <c r="F364" s="8" t="s">
        <v>20</v>
      </c>
      <c r="G364" s="8" t="s">
        <v>26</v>
      </c>
      <c r="H364" s="8"/>
    </row>
    <row r="365">
      <c r="A365" s="6">
        <v>46121.0</v>
      </c>
      <c r="B365" s="8" t="s">
        <v>30</v>
      </c>
      <c r="C365" s="27" t="s">
        <v>190</v>
      </c>
      <c r="D365" s="10">
        <v>19.0</v>
      </c>
      <c r="E365" s="8" t="s">
        <v>32</v>
      </c>
      <c r="F365" s="8" t="s">
        <v>20</v>
      </c>
      <c r="G365" s="16" t="s">
        <v>26</v>
      </c>
      <c r="H365" s="8"/>
    </row>
    <row r="366">
      <c r="A366" s="6">
        <v>46120.0</v>
      </c>
      <c r="B366" s="8" t="s">
        <v>40</v>
      </c>
      <c r="C366" s="67" t="s">
        <v>299</v>
      </c>
      <c r="D366" s="10">
        <v>302.5</v>
      </c>
      <c r="E366" s="8" t="s">
        <v>208</v>
      </c>
      <c r="F366" s="16" t="s">
        <v>13</v>
      </c>
      <c r="G366" s="16" t="s">
        <v>29</v>
      </c>
      <c r="H366" s="16" t="s">
        <v>300</v>
      </c>
    </row>
    <row r="367">
      <c r="A367" s="6">
        <v>46119.0</v>
      </c>
      <c r="B367" s="8" t="s">
        <v>30</v>
      </c>
      <c r="C367" s="16" t="s">
        <v>31</v>
      </c>
      <c r="D367" s="10">
        <v>8.99</v>
      </c>
      <c r="E367" s="8" t="s">
        <v>32</v>
      </c>
      <c r="F367" s="8" t="s">
        <v>20</v>
      </c>
      <c r="G367" s="16" t="s">
        <v>26</v>
      </c>
      <c r="H367" s="8"/>
    </row>
    <row r="368">
      <c r="A368" s="6">
        <v>46117.0</v>
      </c>
      <c r="B368" s="8" t="s">
        <v>351</v>
      </c>
      <c r="C368" s="8"/>
      <c r="D368" s="10">
        <v>54.29</v>
      </c>
      <c r="E368" s="27" t="s">
        <v>44</v>
      </c>
      <c r="F368" s="8" t="s">
        <v>20</v>
      </c>
      <c r="G368" s="16" t="s">
        <v>29</v>
      </c>
      <c r="H368" s="8"/>
    </row>
    <row r="369">
      <c r="A369" s="6">
        <v>46117.0</v>
      </c>
      <c r="B369" s="8" t="s">
        <v>352</v>
      </c>
      <c r="C369" s="8"/>
      <c r="D369" s="10">
        <v>4.99</v>
      </c>
      <c r="E369" s="8" t="s">
        <v>353</v>
      </c>
      <c r="F369" s="8" t="s">
        <v>13</v>
      </c>
      <c r="G369" s="8" t="s">
        <v>26</v>
      </c>
      <c r="H369" s="8"/>
    </row>
    <row r="370">
      <c r="A370" s="6">
        <v>46116.0</v>
      </c>
      <c r="B370" s="8" t="s">
        <v>40</v>
      </c>
      <c r="C370" s="67" t="s">
        <v>354</v>
      </c>
      <c r="D370" s="10">
        <v>8.99</v>
      </c>
      <c r="E370" s="8" t="s">
        <v>208</v>
      </c>
      <c r="F370" s="16" t="s">
        <v>13</v>
      </c>
      <c r="G370" s="16" t="s">
        <v>26</v>
      </c>
      <c r="H370" s="16" t="s">
        <v>355</v>
      </c>
    </row>
    <row r="371">
      <c r="A371" s="6">
        <v>46116.0</v>
      </c>
      <c r="B371" s="8" t="s">
        <v>221</v>
      </c>
      <c r="C371" s="8"/>
      <c r="D371" s="10">
        <v>5.09</v>
      </c>
      <c r="E371" s="8" t="s">
        <v>19</v>
      </c>
      <c r="F371" s="8" t="s">
        <v>20</v>
      </c>
      <c r="G371" s="16" t="s">
        <v>21</v>
      </c>
      <c r="H371" s="16" t="s">
        <v>22</v>
      </c>
    </row>
    <row r="372">
      <c r="A372" s="6">
        <v>46116.0</v>
      </c>
      <c r="B372" s="8" t="s">
        <v>284</v>
      </c>
      <c r="C372" s="8"/>
      <c r="D372" s="10">
        <v>175.08</v>
      </c>
      <c r="E372" s="8" t="s">
        <v>71</v>
      </c>
      <c r="F372" s="8" t="s">
        <v>20</v>
      </c>
      <c r="G372" s="8" t="s">
        <v>29</v>
      </c>
      <c r="H372" s="8"/>
    </row>
    <row r="373">
      <c r="A373" s="6">
        <v>46116.0</v>
      </c>
      <c r="B373" s="8" t="s">
        <v>356</v>
      </c>
      <c r="C373" s="8"/>
      <c r="D373" s="10">
        <v>30.0</v>
      </c>
      <c r="E373" s="8" t="s">
        <v>162</v>
      </c>
      <c r="F373" s="8" t="s">
        <v>20</v>
      </c>
      <c r="G373" s="8" t="s">
        <v>29</v>
      </c>
      <c r="H373" s="8"/>
    </row>
    <row r="374">
      <c r="A374" s="6">
        <v>46115.0</v>
      </c>
      <c r="B374" s="8" t="s">
        <v>51</v>
      </c>
      <c r="C374" s="8"/>
      <c r="D374" s="10">
        <v>123.06</v>
      </c>
      <c r="E374" s="8" t="s">
        <v>52</v>
      </c>
      <c r="F374" s="8" t="s">
        <v>13</v>
      </c>
      <c r="G374" s="8" t="s">
        <v>29</v>
      </c>
      <c r="H374" s="8"/>
    </row>
    <row r="375">
      <c r="A375" s="6">
        <v>46115.0</v>
      </c>
      <c r="B375" s="8" t="s">
        <v>40</v>
      </c>
      <c r="C375" s="67" t="s">
        <v>323</v>
      </c>
      <c r="D375" s="10">
        <v>59.8</v>
      </c>
      <c r="E375" s="8" t="s">
        <v>208</v>
      </c>
      <c r="F375" s="16" t="s">
        <v>13</v>
      </c>
      <c r="G375" s="16" t="s">
        <v>29</v>
      </c>
      <c r="H375" s="16" t="s">
        <v>324</v>
      </c>
    </row>
    <row r="376">
      <c r="A376" s="6">
        <v>46115.0</v>
      </c>
      <c r="B376" s="8" t="s">
        <v>344</v>
      </c>
      <c r="C376" s="8"/>
      <c r="D376" s="10">
        <v>9.79</v>
      </c>
      <c r="E376" s="8" t="s">
        <v>181</v>
      </c>
      <c r="F376" s="8" t="s">
        <v>20</v>
      </c>
      <c r="G376" s="8" t="s">
        <v>14</v>
      </c>
      <c r="H376" s="8"/>
    </row>
    <row r="377">
      <c r="A377" s="6">
        <v>46114.0</v>
      </c>
      <c r="B377" s="8" t="s">
        <v>357</v>
      </c>
      <c r="C377" s="8"/>
      <c r="D377" s="10">
        <v>21.82</v>
      </c>
      <c r="E377" s="8" t="s">
        <v>358</v>
      </c>
      <c r="F377" s="8" t="s">
        <v>13</v>
      </c>
      <c r="G377" s="8" t="s">
        <v>26</v>
      </c>
      <c r="H377" s="8"/>
    </row>
    <row r="378">
      <c r="A378" s="6">
        <v>46114.0</v>
      </c>
      <c r="B378" s="8" t="s">
        <v>219</v>
      </c>
      <c r="C378" s="8"/>
      <c r="D378" s="10">
        <v>0.87</v>
      </c>
      <c r="E378" s="8" t="s">
        <v>19</v>
      </c>
      <c r="F378" s="8" t="s">
        <v>20</v>
      </c>
      <c r="G378" s="16" t="s">
        <v>21</v>
      </c>
      <c r="H378" s="16" t="s">
        <v>22</v>
      </c>
    </row>
    <row r="379">
      <c r="A379" s="6">
        <v>46114.0</v>
      </c>
      <c r="B379" s="8" t="s">
        <v>89</v>
      </c>
      <c r="C379" s="8"/>
      <c r="D379" s="10">
        <v>30.06</v>
      </c>
      <c r="E379" s="8" t="s">
        <v>38</v>
      </c>
      <c r="F379" s="8" t="s">
        <v>20</v>
      </c>
      <c r="G379" s="8" t="s">
        <v>26</v>
      </c>
      <c r="H379" s="8"/>
    </row>
    <row r="380">
      <c r="A380" s="6">
        <v>46114.0</v>
      </c>
      <c r="B380" s="8" t="s">
        <v>59</v>
      </c>
      <c r="C380" s="8"/>
      <c r="D380" s="10">
        <v>0.8</v>
      </c>
      <c r="E380" s="8" t="s">
        <v>60</v>
      </c>
      <c r="F380" s="8" t="s">
        <v>20</v>
      </c>
      <c r="G380" s="8" t="s">
        <v>26</v>
      </c>
      <c r="H380" s="8"/>
    </row>
    <row r="381">
      <c r="A381" s="6">
        <v>46113.0</v>
      </c>
      <c r="B381" s="8" t="s">
        <v>61</v>
      </c>
      <c r="C381" s="8"/>
      <c r="D381" s="10">
        <v>25.96</v>
      </c>
      <c r="E381" s="8" t="s">
        <v>62</v>
      </c>
      <c r="F381" s="8" t="s">
        <v>20</v>
      </c>
      <c r="G381" s="8" t="s">
        <v>26</v>
      </c>
      <c r="H381" s="8"/>
    </row>
    <row r="382">
      <c r="A382" s="6">
        <v>46113.0</v>
      </c>
      <c r="B382" s="8" t="s">
        <v>359</v>
      </c>
      <c r="C382" s="8"/>
      <c r="D382" s="10">
        <v>47.7</v>
      </c>
      <c r="E382" s="8" t="s">
        <v>360</v>
      </c>
      <c r="F382" s="8" t="s">
        <v>13</v>
      </c>
      <c r="G382" s="8" t="s">
        <v>26</v>
      </c>
      <c r="H382" s="8"/>
    </row>
    <row r="383">
      <c r="A383" s="6">
        <v>46113.0</v>
      </c>
      <c r="B383" s="8" t="s">
        <v>49</v>
      </c>
      <c r="C383" s="8"/>
      <c r="D383" s="10">
        <v>265.95</v>
      </c>
      <c r="E383" s="8" t="s">
        <v>50</v>
      </c>
      <c r="F383" s="8" t="s">
        <v>20</v>
      </c>
      <c r="G383" s="8" t="s">
        <v>14</v>
      </c>
      <c r="H383" s="8"/>
    </row>
    <row r="384">
      <c r="A384" s="6">
        <v>46113.0</v>
      </c>
      <c r="B384" s="8" t="s">
        <v>361</v>
      </c>
      <c r="C384" s="8"/>
      <c r="D384" s="10">
        <v>59.58</v>
      </c>
      <c r="E384" s="8" t="s">
        <v>35</v>
      </c>
      <c r="F384" s="8" t="s">
        <v>20</v>
      </c>
      <c r="G384" s="8" t="s">
        <v>29</v>
      </c>
      <c r="H384" s="8"/>
    </row>
    <row r="385">
      <c r="A385" s="6">
        <v>46113.0</v>
      </c>
      <c r="B385" s="8" t="s">
        <v>361</v>
      </c>
      <c r="C385" s="8"/>
      <c r="D385" s="10">
        <v>41.18</v>
      </c>
      <c r="E385" s="8" t="s">
        <v>35</v>
      </c>
      <c r="F385" s="8" t="s">
        <v>20</v>
      </c>
      <c r="G385" s="8" t="s">
        <v>29</v>
      </c>
      <c r="H385" s="8"/>
    </row>
    <row r="386">
      <c r="A386" s="6">
        <v>46110.0</v>
      </c>
      <c r="B386" s="8" t="s">
        <v>66</v>
      </c>
      <c r="C386" s="8"/>
      <c r="D386" s="10">
        <v>38.1</v>
      </c>
      <c r="E386" s="8" t="s">
        <v>68</v>
      </c>
      <c r="F386" s="8" t="s">
        <v>20</v>
      </c>
      <c r="G386" s="8" t="s">
        <v>26</v>
      </c>
      <c r="H386" s="8"/>
    </row>
    <row r="387">
      <c r="A387" s="6">
        <v>46110.0</v>
      </c>
      <c r="B387" s="8" t="s">
        <v>66</v>
      </c>
      <c r="C387" s="8"/>
      <c r="D387" s="10">
        <v>3.47</v>
      </c>
      <c r="E387" s="8" t="s">
        <v>68</v>
      </c>
      <c r="F387" s="8" t="s">
        <v>20</v>
      </c>
      <c r="G387" s="8" t="s">
        <v>26</v>
      </c>
      <c r="H387" s="8"/>
    </row>
    <row r="388">
      <c r="A388" s="6">
        <v>46110.0</v>
      </c>
      <c r="B388" s="8" t="s">
        <v>40</v>
      </c>
      <c r="C388" s="67" t="s">
        <v>362</v>
      </c>
      <c r="D388" s="10">
        <v>16.45</v>
      </c>
      <c r="E388" s="8" t="s">
        <v>208</v>
      </c>
      <c r="F388" s="16" t="s">
        <v>13</v>
      </c>
      <c r="G388" s="16" t="s">
        <v>29</v>
      </c>
      <c r="H388" s="8"/>
    </row>
    <row r="389">
      <c r="A389" s="6">
        <v>46109.0</v>
      </c>
      <c r="B389" s="8" t="s">
        <v>30</v>
      </c>
      <c r="C389" s="27" t="s">
        <v>91</v>
      </c>
      <c r="D389" s="10">
        <v>14.99</v>
      </c>
      <c r="E389" s="8" t="s">
        <v>32</v>
      </c>
      <c r="F389" s="8" t="s">
        <v>20</v>
      </c>
      <c r="G389" s="16" t="s">
        <v>29</v>
      </c>
      <c r="H389" s="8"/>
    </row>
    <row r="390">
      <c r="A390" s="6">
        <v>46108.0</v>
      </c>
      <c r="B390" s="8" t="s">
        <v>98</v>
      </c>
      <c r="C390" s="8"/>
      <c r="D390" s="10">
        <v>190.41</v>
      </c>
      <c r="E390" s="8" t="s">
        <v>99</v>
      </c>
      <c r="F390" s="8" t="s">
        <v>20</v>
      </c>
      <c r="G390" s="8" t="s">
        <v>14</v>
      </c>
      <c r="H390" s="8"/>
    </row>
    <row r="391">
      <c r="A391" s="6">
        <v>46108.0</v>
      </c>
      <c r="B391" s="8" t="s">
        <v>47</v>
      </c>
      <c r="C391" s="8"/>
      <c r="D391" s="10">
        <v>20.19</v>
      </c>
      <c r="E391" s="8" t="s">
        <v>48</v>
      </c>
      <c r="F391" s="8" t="s">
        <v>20</v>
      </c>
      <c r="G391" s="8" t="s">
        <v>26</v>
      </c>
      <c r="H391" s="8"/>
    </row>
    <row r="392">
      <c r="A392" s="6">
        <v>46108.0</v>
      </c>
      <c r="B392" s="8" t="s">
        <v>245</v>
      </c>
      <c r="C392" s="8"/>
      <c r="D392" s="10">
        <v>264.12</v>
      </c>
      <c r="E392" s="8" t="s">
        <v>246</v>
      </c>
      <c r="F392" s="8" t="s">
        <v>13</v>
      </c>
      <c r="G392" s="8" t="s">
        <v>14</v>
      </c>
      <c r="H392" s="8"/>
    </row>
    <row r="393">
      <c r="A393" s="6">
        <v>46108.0</v>
      </c>
      <c r="B393" s="8" t="s">
        <v>107</v>
      </c>
      <c r="C393" s="8"/>
      <c r="D393" s="10">
        <v>82.9</v>
      </c>
      <c r="E393" s="8" t="s">
        <v>108</v>
      </c>
      <c r="F393" s="8" t="s">
        <v>20</v>
      </c>
      <c r="G393" s="8" t="s">
        <v>29</v>
      </c>
      <c r="H393" s="8"/>
    </row>
    <row r="394">
      <c r="A394" s="6">
        <v>46107.0</v>
      </c>
      <c r="B394" s="8" t="s">
        <v>30</v>
      </c>
      <c r="C394" s="16" t="s">
        <v>109</v>
      </c>
      <c r="D394" s="10">
        <v>12.99</v>
      </c>
      <c r="E394" s="8" t="s">
        <v>32</v>
      </c>
      <c r="F394" s="8" t="s">
        <v>20</v>
      </c>
      <c r="G394" s="16" t="s">
        <v>26</v>
      </c>
      <c r="H394" s="8"/>
    </row>
    <row r="395">
      <c r="A395" s="6">
        <v>46106.0</v>
      </c>
      <c r="B395" s="8" t="s">
        <v>30</v>
      </c>
      <c r="C395" s="27" t="s">
        <v>91</v>
      </c>
      <c r="D395" s="10">
        <v>14.99</v>
      </c>
      <c r="E395" s="8" t="s">
        <v>32</v>
      </c>
      <c r="F395" s="8" t="s">
        <v>20</v>
      </c>
      <c r="G395" s="16" t="s">
        <v>29</v>
      </c>
      <c r="H395" s="8"/>
    </row>
    <row r="396">
      <c r="A396" s="6">
        <v>46106.0</v>
      </c>
      <c r="B396" s="8" t="s">
        <v>112</v>
      </c>
      <c r="C396" s="8"/>
      <c r="D396" s="10">
        <v>15.99</v>
      </c>
      <c r="E396" s="8" t="s">
        <v>113</v>
      </c>
      <c r="F396" s="8" t="s">
        <v>20</v>
      </c>
      <c r="G396" s="8" t="s">
        <v>26</v>
      </c>
      <c r="H396" s="8"/>
    </row>
    <row r="397">
      <c r="A397" s="6">
        <v>46106.0</v>
      </c>
      <c r="B397" s="8" t="s">
        <v>49</v>
      </c>
      <c r="C397" s="8"/>
      <c r="D397" s="10">
        <v>265.95</v>
      </c>
      <c r="E397" s="8" t="s">
        <v>50</v>
      </c>
      <c r="F397" s="8" t="s">
        <v>20</v>
      </c>
      <c r="G397" s="8" t="s">
        <v>14</v>
      </c>
      <c r="H397" s="8"/>
    </row>
    <row r="398">
      <c r="A398" s="6">
        <v>46104.0</v>
      </c>
      <c r="B398" s="8" t="s">
        <v>47</v>
      </c>
      <c r="C398" s="8"/>
      <c r="D398" s="10">
        <v>20.19</v>
      </c>
      <c r="E398" s="8" t="s">
        <v>48</v>
      </c>
      <c r="F398" s="8" t="s">
        <v>20</v>
      </c>
      <c r="G398" s="8" t="s">
        <v>26</v>
      </c>
      <c r="H398" s="8"/>
    </row>
    <row r="399">
      <c r="A399" s="6">
        <v>46103.0</v>
      </c>
      <c r="B399" s="8" t="s">
        <v>182</v>
      </c>
      <c r="C399" s="8"/>
      <c r="D399" s="10">
        <v>99.9</v>
      </c>
      <c r="E399" s="8" t="s">
        <v>162</v>
      </c>
      <c r="F399" s="8" t="s">
        <v>20</v>
      </c>
      <c r="G399" s="8" t="s">
        <v>29</v>
      </c>
      <c r="H399" s="8"/>
    </row>
    <row r="400">
      <c r="A400" s="6">
        <v>46103.0</v>
      </c>
      <c r="B400" s="8" t="s">
        <v>30</v>
      </c>
      <c r="C400" s="27" t="s">
        <v>121</v>
      </c>
      <c r="D400" s="10">
        <v>8.49</v>
      </c>
      <c r="E400" s="8" t="s">
        <v>32</v>
      </c>
      <c r="F400" s="8" t="s">
        <v>20</v>
      </c>
      <c r="G400" s="16" t="s">
        <v>29</v>
      </c>
      <c r="H400" s="8"/>
    </row>
    <row r="401">
      <c r="A401" s="6">
        <v>46103.0</v>
      </c>
      <c r="B401" s="8" t="s">
        <v>363</v>
      </c>
      <c r="C401" s="8"/>
      <c r="D401" s="10">
        <v>121.65</v>
      </c>
      <c r="E401" s="8" t="s">
        <v>364</v>
      </c>
      <c r="F401" s="8" t="s">
        <v>13</v>
      </c>
      <c r="G401" s="8" t="s">
        <v>26</v>
      </c>
      <c r="H401" s="8"/>
    </row>
    <row r="402">
      <c r="A402" s="6">
        <v>46103.0</v>
      </c>
      <c r="B402" s="8" t="s">
        <v>55</v>
      </c>
      <c r="C402" s="16" t="s">
        <v>365</v>
      </c>
      <c r="D402" s="10">
        <v>14.91</v>
      </c>
      <c r="E402" s="16" t="s">
        <v>141</v>
      </c>
      <c r="F402" s="16" t="s">
        <v>13</v>
      </c>
      <c r="G402" s="16" t="s">
        <v>29</v>
      </c>
      <c r="H402" s="8"/>
    </row>
    <row r="403">
      <c r="A403" s="6">
        <v>46103.0</v>
      </c>
      <c r="B403" s="8" t="s">
        <v>55</v>
      </c>
      <c r="C403" s="16" t="s">
        <v>366</v>
      </c>
      <c r="D403" s="10">
        <v>59.49</v>
      </c>
      <c r="E403" s="16" t="s">
        <v>141</v>
      </c>
      <c r="F403" s="16" t="s">
        <v>13</v>
      </c>
      <c r="G403" s="16" t="s">
        <v>29</v>
      </c>
      <c r="H403" s="8"/>
    </row>
    <row r="404">
      <c r="A404" s="6">
        <v>46103.0</v>
      </c>
      <c r="B404" s="8" t="s">
        <v>367</v>
      </c>
      <c r="C404" s="8"/>
      <c r="D404" s="10">
        <v>100.0</v>
      </c>
      <c r="E404" s="8" t="s">
        <v>154</v>
      </c>
      <c r="F404" s="8" t="s">
        <v>20</v>
      </c>
      <c r="G404" s="8" t="s">
        <v>29</v>
      </c>
      <c r="H404" s="8"/>
    </row>
    <row r="405">
      <c r="A405" s="6">
        <v>46103.0</v>
      </c>
      <c r="B405" s="8" t="s">
        <v>368</v>
      </c>
      <c r="C405" s="8"/>
      <c r="D405" s="10">
        <v>97.33</v>
      </c>
      <c r="E405" s="8" t="s">
        <v>369</v>
      </c>
      <c r="F405" s="8" t="s">
        <v>13</v>
      </c>
      <c r="G405" s="8" t="s">
        <v>26</v>
      </c>
      <c r="H405" s="8"/>
    </row>
    <row r="406">
      <c r="A406" s="6">
        <v>46103.0</v>
      </c>
      <c r="B406" s="8" t="s">
        <v>370</v>
      </c>
      <c r="C406" s="8"/>
      <c r="D406" s="10">
        <v>11.17</v>
      </c>
      <c r="E406" s="8" t="s">
        <v>369</v>
      </c>
      <c r="F406" s="8" t="s">
        <v>13</v>
      </c>
      <c r="G406" s="8" t="s">
        <v>26</v>
      </c>
      <c r="H406" s="8"/>
    </row>
    <row r="407">
      <c r="A407" s="6">
        <v>46103.0</v>
      </c>
      <c r="B407" s="8" t="s">
        <v>371</v>
      </c>
      <c r="C407" s="8"/>
      <c r="D407" s="10">
        <v>200.0</v>
      </c>
      <c r="E407" s="8" t="s">
        <v>372</v>
      </c>
      <c r="F407" s="8" t="s">
        <v>13</v>
      </c>
      <c r="G407" s="8" t="s">
        <v>26</v>
      </c>
      <c r="H407" s="8"/>
    </row>
    <row r="408">
      <c r="A408" s="6">
        <v>46102.0</v>
      </c>
      <c r="B408" s="8" t="s">
        <v>373</v>
      </c>
      <c r="C408" s="8"/>
      <c r="D408" s="10">
        <v>70.9</v>
      </c>
      <c r="E408" s="8" t="s">
        <v>162</v>
      </c>
      <c r="F408" s="8" t="s">
        <v>20</v>
      </c>
      <c r="G408" s="8" t="s">
        <v>29</v>
      </c>
      <c r="H408" s="8"/>
    </row>
    <row r="409">
      <c r="A409" s="6">
        <v>46102.0</v>
      </c>
      <c r="B409" s="8" t="s">
        <v>133</v>
      </c>
      <c r="C409" s="8"/>
      <c r="D409" s="10">
        <v>420.98</v>
      </c>
      <c r="E409" s="8" t="s">
        <v>134</v>
      </c>
      <c r="F409" s="8" t="s">
        <v>20</v>
      </c>
      <c r="G409" s="8" t="s">
        <v>14</v>
      </c>
      <c r="H409" s="8"/>
    </row>
    <row r="410">
      <c r="A410" s="6">
        <v>46102.0</v>
      </c>
      <c r="B410" s="8" t="s">
        <v>40</v>
      </c>
      <c r="C410" s="67" t="s">
        <v>323</v>
      </c>
      <c r="D410" s="10">
        <v>59.8</v>
      </c>
      <c r="E410" s="8" t="s">
        <v>208</v>
      </c>
      <c r="F410" s="16" t="s">
        <v>13</v>
      </c>
      <c r="G410" s="16" t="s">
        <v>29</v>
      </c>
      <c r="H410" s="16" t="s">
        <v>324</v>
      </c>
    </row>
    <row r="411">
      <c r="A411" s="6">
        <v>46102.0</v>
      </c>
      <c r="B411" s="8" t="s">
        <v>40</v>
      </c>
      <c r="C411" s="67" t="s">
        <v>354</v>
      </c>
      <c r="D411" s="10">
        <v>8.98</v>
      </c>
      <c r="E411" s="8" t="s">
        <v>208</v>
      </c>
      <c r="F411" s="16" t="s">
        <v>13</v>
      </c>
      <c r="G411" s="16" t="s">
        <v>26</v>
      </c>
      <c r="H411" s="16" t="s">
        <v>355</v>
      </c>
    </row>
    <row r="412">
      <c r="A412" s="6">
        <v>46102.0</v>
      </c>
      <c r="B412" s="8" t="s">
        <v>45</v>
      </c>
      <c r="C412" s="8"/>
      <c r="D412" s="10">
        <v>202.66</v>
      </c>
      <c r="E412" s="8" t="s">
        <v>46</v>
      </c>
      <c r="F412" s="8" t="s">
        <v>13</v>
      </c>
      <c r="G412" s="8" t="s">
        <v>14</v>
      </c>
      <c r="H412" s="8"/>
    </row>
    <row r="413">
      <c r="A413" s="6">
        <v>46102.0</v>
      </c>
      <c r="B413" s="8" t="s">
        <v>375</v>
      </c>
      <c r="C413" s="8"/>
      <c r="D413" s="10">
        <v>0.0</v>
      </c>
      <c r="E413" s="8" t="s">
        <v>143</v>
      </c>
      <c r="F413" s="8"/>
      <c r="G413" s="8" t="s">
        <v>144</v>
      </c>
      <c r="H413" s="8" t="s">
        <v>145</v>
      </c>
    </row>
    <row r="414">
      <c r="A414" s="6">
        <v>46100.0</v>
      </c>
      <c r="B414" s="8" t="s">
        <v>30</v>
      </c>
      <c r="C414" s="27" t="s">
        <v>190</v>
      </c>
      <c r="D414" s="10">
        <v>19.0</v>
      </c>
      <c r="E414" s="8" t="s">
        <v>32</v>
      </c>
      <c r="F414" s="8" t="s">
        <v>20</v>
      </c>
      <c r="G414" s="16" t="s">
        <v>26</v>
      </c>
      <c r="H414" s="8"/>
    </row>
    <row r="415">
      <c r="A415" s="6">
        <v>46100.0</v>
      </c>
      <c r="B415" s="8" t="s">
        <v>135</v>
      </c>
      <c r="C415" s="8"/>
      <c r="D415" s="10">
        <v>230.63</v>
      </c>
      <c r="E415" s="8" t="s">
        <v>136</v>
      </c>
      <c r="F415" s="8" t="s">
        <v>20</v>
      </c>
      <c r="G415" s="8" t="s">
        <v>14</v>
      </c>
      <c r="H415" s="8"/>
    </row>
    <row r="416">
      <c r="A416" s="6">
        <v>46100.0</v>
      </c>
      <c r="B416" s="8" t="s">
        <v>34</v>
      </c>
      <c r="C416" s="8"/>
      <c r="D416" s="10">
        <v>9.99</v>
      </c>
      <c r="E416" s="8" t="s">
        <v>35</v>
      </c>
      <c r="F416" s="8" t="s">
        <v>20</v>
      </c>
      <c r="G416" s="8" t="s">
        <v>29</v>
      </c>
      <c r="H416" s="8"/>
    </row>
    <row r="417">
      <c r="A417" s="6">
        <v>46100.0</v>
      </c>
      <c r="B417" s="8" t="s">
        <v>146</v>
      </c>
      <c r="C417" s="8"/>
      <c r="D417" s="10">
        <v>41.45</v>
      </c>
      <c r="E417" s="8" t="s">
        <v>147</v>
      </c>
      <c r="F417" s="8" t="s">
        <v>20</v>
      </c>
      <c r="G417" s="8" t="s">
        <v>14</v>
      </c>
      <c r="H417" s="8"/>
    </row>
    <row r="418">
      <c r="A418" s="6">
        <v>46099.0</v>
      </c>
      <c r="B418" s="8" t="s">
        <v>49</v>
      </c>
      <c r="C418" s="8"/>
      <c r="D418" s="10">
        <v>266.12</v>
      </c>
      <c r="E418" s="8" t="s">
        <v>50</v>
      </c>
      <c r="F418" s="8" t="s">
        <v>20</v>
      </c>
      <c r="G418" s="8" t="s">
        <v>14</v>
      </c>
      <c r="H418" s="8"/>
    </row>
    <row r="419">
      <c r="A419" s="6">
        <v>46098.0</v>
      </c>
      <c r="B419" s="8" t="s">
        <v>376</v>
      </c>
      <c r="C419" s="8"/>
      <c r="D419" s="10">
        <v>110.0</v>
      </c>
      <c r="E419" s="8" t="s">
        <v>52</v>
      </c>
      <c r="F419" s="8" t="s">
        <v>13</v>
      </c>
      <c r="G419" s="8" t="s">
        <v>29</v>
      </c>
      <c r="H419" s="8"/>
    </row>
    <row r="420">
      <c r="A420" s="6">
        <v>46097.0</v>
      </c>
      <c r="B420" s="8" t="s">
        <v>377</v>
      </c>
      <c r="C420" s="8"/>
      <c r="D420" s="10">
        <v>134.0</v>
      </c>
      <c r="E420" s="8" t="s">
        <v>378</v>
      </c>
      <c r="F420" s="8" t="s">
        <v>13</v>
      </c>
      <c r="G420" s="8" t="s">
        <v>26</v>
      </c>
      <c r="H420" s="8"/>
    </row>
    <row r="421">
      <c r="A421" s="6">
        <v>46097.0</v>
      </c>
      <c r="B421" s="8" t="s">
        <v>148</v>
      </c>
      <c r="C421" s="8"/>
      <c r="D421" s="10">
        <v>0.56</v>
      </c>
      <c r="E421" s="8" t="s">
        <v>19</v>
      </c>
      <c r="F421" s="8" t="s">
        <v>20</v>
      </c>
      <c r="G421" s="16" t="s">
        <v>21</v>
      </c>
      <c r="H421" s="16" t="s">
        <v>22</v>
      </c>
    </row>
    <row r="422">
      <c r="A422" s="6">
        <v>46097.0</v>
      </c>
      <c r="B422" s="8" t="s">
        <v>149</v>
      </c>
      <c r="C422" s="8"/>
      <c r="D422" s="10">
        <v>19.55</v>
      </c>
      <c r="E422" s="8" t="s">
        <v>150</v>
      </c>
      <c r="F422" s="8" t="s">
        <v>20</v>
      </c>
      <c r="G422" s="8" t="s">
        <v>26</v>
      </c>
      <c r="H422" s="8"/>
    </row>
    <row r="423">
      <c r="A423" s="6">
        <v>46096.0</v>
      </c>
      <c r="B423" s="8" t="s">
        <v>380</v>
      </c>
      <c r="C423" s="8"/>
      <c r="D423" s="10">
        <v>3.92</v>
      </c>
      <c r="E423" s="8" t="s">
        <v>19</v>
      </c>
      <c r="F423" s="8" t="s">
        <v>20</v>
      </c>
      <c r="G423" s="16" t="s">
        <v>21</v>
      </c>
      <c r="H423" s="16" t="s">
        <v>22</v>
      </c>
    </row>
    <row r="424">
      <c r="A424" s="6">
        <v>46096.0</v>
      </c>
      <c r="B424" s="8" t="s">
        <v>381</v>
      </c>
      <c r="C424" s="8"/>
      <c r="D424" s="10">
        <v>134.89</v>
      </c>
      <c r="E424" s="8" t="s">
        <v>309</v>
      </c>
      <c r="F424" s="8" t="s">
        <v>20</v>
      </c>
      <c r="G424" s="8" t="s">
        <v>310</v>
      </c>
      <c r="H424" s="8"/>
    </row>
    <row r="425">
      <c r="A425" s="6">
        <v>46096.0</v>
      </c>
      <c r="B425" s="8" t="s">
        <v>40</v>
      </c>
      <c r="C425" s="67" t="s">
        <v>362</v>
      </c>
      <c r="D425" s="10">
        <v>16.44</v>
      </c>
      <c r="E425" s="8" t="s">
        <v>208</v>
      </c>
      <c r="F425" s="16" t="s">
        <v>13</v>
      </c>
      <c r="G425" s="16" t="s">
        <v>29</v>
      </c>
      <c r="H425" s="8"/>
    </row>
    <row r="426">
      <c r="A426" s="6">
        <v>46096.0</v>
      </c>
      <c r="B426" s="8" t="s">
        <v>167</v>
      </c>
      <c r="C426" s="8"/>
      <c r="D426" s="10">
        <v>0.3</v>
      </c>
      <c r="E426" s="8" t="s">
        <v>19</v>
      </c>
      <c r="F426" s="8" t="s">
        <v>20</v>
      </c>
      <c r="G426" s="16" t="s">
        <v>21</v>
      </c>
      <c r="H426" s="16" t="s">
        <v>22</v>
      </c>
    </row>
    <row r="427">
      <c r="A427" s="6">
        <v>46096.0</v>
      </c>
      <c r="B427" s="8" t="s">
        <v>168</v>
      </c>
      <c r="C427" s="8"/>
      <c r="D427" s="10">
        <v>10.3</v>
      </c>
      <c r="E427" s="8" t="s">
        <v>169</v>
      </c>
      <c r="F427" s="8" t="s">
        <v>20</v>
      </c>
      <c r="G427" s="8" t="s">
        <v>26</v>
      </c>
      <c r="H427" s="8"/>
    </row>
    <row r="428">
      <c r="A428" s="6">
        <v>46095.0</v>
      </c>
      <c r="B428" s="8" t="s">
        <v>66</v>
      </c>
      <c r="C428" s="8"/>
      <c r="D428" s="10">
        <v>95.36</v>
      </c>
      <c r="E428" s="8" t="s">
        <v>68</v>
      </c>
      <c r="F428" s="8" t="s">
        <v>20</v>
      </c>
      <c r="G428" s="8" t="s">
        <v>26</v>
      </c>
      <c r="H428" s="8"/>
    </row>
    <row r="429">
      <c r="A429" s="6">
        <v>46095.0</v>
      </c>
      <c r="B429" s="8" t="s">
        <v>383</v>
      </c>
      <c r="C429" s="8"/>
      <c r="D429" s="10">
        <v>20.99</v>
      </c>
      <c r="E429" s="8" t="s">
        <v>172</v>
      </c>
      <c r="F429" s="8" t="s">
        <v>20</v>
      </c>
      <c r="G429" s="8" t="s">
        <v>14</v>
      </c>
      <c r="H429" s="8"/>
    </row>
    <row r="430">
      <c r="A430" s="6">
        <v>46095.0</v>
      </c>
      <c r="B430" s="8" t="s">
        <v>178</v>
      </c>
      <c r="C430" s="8"/>
      <c r="D430" s="10">
        <v>2.99</v>
      </c>
      <c r="E430" s="8" t="s">
        <v>179</v>
      </c>
      <c r="F430" s="8" t="s">
        <v>20</v>
      </c>
      <c r="G430" s="8" t="s">
        <v>29</v>
      </c>
      <c r="H430" s="8"/>
    </row>
    <row r="431">
      <c r="A431" s="6">
        <v>46095.0</v>
      </c>
      <c r="B431" s="8" t="s">
        <v>66</v>
      </c>
      <c r="C431" s="8"/>
      <c r="D431" s="10">
        <v>4.41</v>
      </c>
      <c r="E431" s="8" t="s">
        <v>68</v>
      </c>
      <c r="F431" s="8" t="s">
        <v>20</v>
      </c>
      <c r="G431" s="8" t="s">
        <v>26</v>
      </c>
      <c r="H431" s="8"/>
    </row>
    <row r="432">
      <c r="A432" s="6">
        <v>46095.0</v>
      </c>
      <c r="B432" s="8" t="s">
        <v>176</v>
      </c>
      <c r="C432" s="8"/>
      <c r="D432" s="10">
        <v>20.99</v>
      </c>
      <c r="E432" s="8" t="s">
        <v>177</v>
      </c>
      <c r="F432" s="8" t="s">
        <v>20</v>
      </c>
      <c r="G432" s="8" t="s">
        <v>26</v>
      </c>
      <c r="H432" s="8"/>
    </row>
    <row r="433">
      <c r="A433" s="6">
        <v>46094.0</v>
      </c>
      <c r="B433" s="8" t="s">
        <v>385</v>
      </c>
      <c r="C433" s="8"/>
      <c r="D433" s="10">
        <v>79.0</v>
      </c>
      <c r="E433" s="8" t="s">
        <v>353</v>
      </c>
      <c r="F433" s="8" t="s">
        <v>13</v>
      </c>
      <c r="G433" s="8" t="s">
        <v>26</v>
      </c>
      <c r="H433" s="8"/>
    </row>
    <row r="434">
      <c r="A434" s="6">
        <v>46094.0</v>
      </c>
      <c r="B434" s="8" t="s">
        <v>180</v>
      </c>
      <c r="C434" s="8"/>
      <c r="D434" s="10">
        <v>13.99</v>
      </c>
      <c r="E434" s="8" t="s">
        <v>181</v>
      </c>
      <c r="F434" s="8" t="s">
        <v>20</v>
      </c>
      <c r="G434" s="8" t="s">
        <v>14</v>
      </c>
      <c r="H434" s="8"/>
    </row>
    <row r="435">
      <c r="A435" s="6">
        <v>46093.0</v>
      </c>
      <c r="B435" s="8" t="s">
        <v>386</v>
      </c>
      <c r="C435" s="8"/>
      <c r="D435" s="10">
        <v>25.3</v>
      </c>
      <c r="E435" s="8" t="s">
        <v>387</v>
      </c>
      <c r="F435" s="8" t="s">
        <v>13</v>
      </c>
      <c r="G435" s="8" t="s">
        <v>26</v>
      </c>
      <c r="H435" s="8"/>
    </row>
    <row r="436">
      <c r="A436" s="6">
        <v>46093.0</v>
      </c>
      <c r="B436" s="8" t="s">
        <v>161</v>
      </c>
      <c r="C436" s="8"/>
      <c r="D436" s="10">
        <v>320.0</v>
      </c>
      <c r="E436" s="8" t="s">
        <v>162</v>
      </c>
      <c r="F436" s="8" t="s">
        <v>20</v>
      </c>
      <c r="G436" s="8" t="s">
        <v>29</v>
      </c>
      <c r="H436" s="8"/>
    </row>
    <row r="437">
      <c r="A437" s="6">
        <v>46093.0</v>
      </c>
      <c r="B437" s="8" t="s">
        <v>388</v>
      </c>
      <c r="C437" s="8"/>
      <c r="D437" s="10">
        <v>66.0</v>
      </c>
      <c r="E437" s="8" t="s">
        <v>389</v>
      </c>
      <c r="F437" s="8" t="s">
        <v>13</v>
      </c>
      <c r="G437" s="8" t="s">
        <v>29</v>
      </c>
      <c r="H437" s="8"/>
    </row>
    <row r="438">
      <c r="A438" s="6">
        <v>46093.0</v>
      </c>
      <c r="B438" s="8" t="s">
        <v>361</v>
      </c>
      <c r="C438" s="8"/>
      <c r="D438" s="10">
        <v>59.33</v>
      </c>
      <c r="E438" s="8" t="s">
        <v>35</v>
      </c>
      <c r="F438" s="8" t="s">
        <v>20</v>
      </c>
      <c r="G438" s="8" t="s">
        <v>29</v>
      </c>
      <c r="H438" s="8"/>
    </row>
    <row r="439">
      <c r="A439" s="6">
        <v>46092.0</v>
      </c>
      <c r="B439" s="8" t="s">
        <v>361</v>
      </c>
      <c r="C439" s="8"/>
      <c r="D439" s="10">
        <v>23.58</v>
      </c>
      <c r="E439" s="8" t="s">
        <v>35</v>
      </c>
      <c r="F439" s="8" t="s">
        <v>20</v>
      </c>
      <c r="G439" s="8" t="s">
        <v>29</v>
      </c>
      <c r="H439" s="8"/>
    </row>
    <row r="440">
      <c r="A440" s="6">
        <v>46092.0</v>
      </c>
      <c r="B440" s="8" t="s">
        <v>49</v>
      </c>
      <c r="C440" s="8"/>
      <c r="D440" s="10">
        <v>265.83</v>
      </c>
      <c r="E440" s="8" t="s">
        <v>50</v>
      </c>
      <c r="F440" s="8" t="s">
        <v>20</v>
      </c>
      <c r="G440" s="8" t="s">
        <v>14</v>
      </c>
      <c r="H440" s="8"/>
    </row>
    <row r="441">
      <c r="A441" s="6">
        <v>46092.0</v>
      </c>
      <c r="B441" s="8" t="s">
        <v>390</v>
      </c>
      <c r="C441" s="8"/>
      <c r="D441" s="10">
        <v>27.78</v>
      </c>
      <c r="E441" s="8" t="s">
        <v>391</v>
      </c>
      <c r="F441" s="8" t="s">
        <v>13</v>
      </c>
      <c r="G441" s="8" t="s">
        <v>26</v>
      </c>
      <c r="H441" s="8"/>
    </row>
    <row r="442">
      <c r="A442" s="6">
        <v>46092.0</v>
      </c>
      <c r="B442" s="8" t="s">
        <v>388</v>
      </c>
      <c r="C442" s="8"/>
      <c r="D442" s="10">
        <v>66.0</v>
      </c>
      <c r="E442" s="8" t="s">
        <v>389</v>
      </c>
      <c r="F442" s="8" t="s">
        <v>13</v>
      </c>
      <c r="G442" s="8" t="s">
        <v>29</v>
      </c>
      <c r="H442" s="8"/>
    </row>
    <row r="443">
      <c r="A443" s="6">
        <v>46091.0</v>
      </c>
      <c r="B443" s="8" t="s">
        <v>30</v>
      </c>
      <c r="C443" s="16" t="s">
        <v>392</v>
      </c>
      <c r="D443" s="10">
        <v>51.97</v>
      </c>
      <c r="E443" s="8" t="s">
        <v>32</v>
      </c>
      <c r="F443" s="8" t="s">
        <v>20</v>
      </c>
      <c r="G443" s="16" t="s">
        <v>26</v>
      </c>
      <c r="H443" s="8"/>
    </row>
    <row r="444">
      <c r="A444" s="6">
        <v>46091.0</v>
      </c>
      <c r="B444" s="8" t="s">
        <v>40</v>
      </c>
      <c r="C444" s="96" t="s">
        <v>123</v>
      </c>
      <c r="D444" s="10">
        <v>93.98</v>
      </c>
      <c r="E444" s="16" t="s">
        <v>64</v>
      </c>
      <c r="F444" s="16" t="s">
        <v>13</v>
      </c>
      <c r="G444" s="16" t="s">
        <v>26</v>
      </c>
      <c r="H444" s="8"/>
    </row>
    <row r="445">
      <c r="A445" s="6">
        <v>46091.0</v>
      </c>
      <c r="B445" s="8" t="s">
        <v>393</v>
      </c>
      <c r="C445" s="8"/>
      <c r="D445" s="10">
        <v>139.65</v>
      </c>
      <c r="E445" s="8" t="s">
        <v>394</v>
      </c>
      <c r="F445" s="8" t="s">
        <v>13</v>
      </c>
      <c r="G445" s="8" t="s">
        <v>26</v>
      </c>
      <c r="H445" s="8"/>
    </row>
    <row r="446">
      <c r="A446" s="6">
        <v>46090.0</v>
      </c>
      <c r="B446" s="8" t="s">
        <v>131</v>
      </c>
      <c r="C446" s="8"/>
      <c r="D446" s="10">
        <v>191.9</v>
      </c>
      <c r="E446" s="8" t="s">
        <v>132</v>
      </c>
      <c r="F446" s="8" t="s">
        <v>13</v>
      </c>
      <c r="G446" s="8" t="s">
        <v>14</v>
      </c>
      <c r="H446" s="8"/>
    </row>
    <row r="447">
      <c r="A447" s="6">
        <v>46090.0</v>
      </c>
      <c r="B447" s="8" t="s">
        <v>395</v>
      </c>
      <c r="C447" s="8"/>
      <c r="D447" s="10">
        <v>19.0</v>
      </c>
      <c r="E447" s="8" t="s">
        <v>188</v>
      </c>
      <c r="F447" s="8" t="s">
        <v>20</v>
      </c>
      <c r="G447" s="8" t="s">
        <v>26</v>
      </c>
      <c r="H447" s="8"/>
    </row>
    <row r="448">
      <c r="A448" s="6">
        <v>46090.0</v>
      </c>
      <c r="B448" s="8" t="s">
        <v>40</v>
      </c>
      <c r="C448" s="67" t="s">
        <v>396</v>
      </c>
      <c r="D448" s="10">
        <v>25.98</v>
      </c>
      <c r="E448" s="8" t="s">
        <v>208</v>
      </c>
      <c r="F448" s="16" t="s">
        <v>13</v>
      </c>
      <c r="G448" s="16" t="s">
        <v>29</v>
      </c>
      <c r="H448" s="16" t="s">
        <v>397</v>
      </c>
    </row>
    <row r="449">
      <c r="A449" s="6">
        <v>46089.0</v>
      </c>
      <c r="B449" s="8" t="s">
        <v>398</v>
      </c>
      <c r="C449" s="8"/>
      <c r="D449" s="10">
        <v>1255.57</v>
      </c>
      <c r="E449" s="8" t="s">
        <v>399</v>
      </c>
      <c r="F449" s="8" t="s">
        <v>13</v>
      </c>
      <c r="G449" s="8" t="s">
        <v>26</v>
      </c>
      <c r="H449" s="8"/>
    </row>
    <row r="450">
      <c r="A450" s="6">
        <v>46088.0</v>
      </c>
      <c r="B450" s="8" t="s">
        <v>40</v>
      </c>
      <c r="C450" s="67" t="s">
        <v>354</v>
      </c>
      <c r="D450" s="10">
        <v>8.98</v>
      </c>
      <c r="E450" s="8" t="s">
        <v>208</v>
      </c>
      <c r="F450" s="16" t="s">
        <v>13</v>
      </c>
      <c r="G450" s="16" t="s">
        <v>26</v>
      </c>
      <c r="H450" s="16" t="s">
        <v>355</v>
      </c>
    </row>
    <row r="451">
      <c r="A451" s="6">
        <v>46087.0</v>
      </c>
      <c r="B451" s="8" t="s">
        <v>40</v>
      </c>
      <c r="C451" s="67" t="s">
        <v>400</v>
      </c>
      <c r="D451" s="10">
        <v>103.17</v>
      </c>
      <c r="E451" s="8" t="s">
        <v>208</v>
      </c>
      <c r="F451" s="16" t="s">
        <v>13</v>
      </c>
      <c r="G451" s="16" t="s">
        <v>26</v>
      </c>
      <c r="H451" s="16" t="s">
        <v>401</v>
      </c>
    </row>
    <row r="452">
      <c r="A452" s="6">
        <v>46086.0</v>
      </c>
      <c r="B452" s="8" t="s">
        <v>30</v>
      </c>
      <c r="C452" s="16" t="s">
        <v>402</v>
      </c>
      <c r="D452" s="10">
        <v>38.98</v>
      </c>
      <c r="E452" s="8" t="s">
        <v>32</v>
      </c>
      <c r="F452" s="8" t="s">
        <v>20</v>
      </c>
      <c r="G452" s="16" t="s">
        <v>26</v>
      </c>
      <c r="H452" s="8"/>
    </row>
    <row r="453">
      <c r="A453" s="6">
        <v>46086.0</v>
      </c>
      <c r="B453" s="8" t="s">
        <v>47</v>
      </c>
      <c r="C453" s="8"/>
      <c r="D453" s="10">
        <v>20.19</v>
      </c>
      <c r="E453" s="8" t="s">
        <v>48</v>
      </c>
      <c r="F453" s="8" t="s">
        <v>20</v>
      </c>
      <c r="G453" s="8" t="s">
        <v>26</v>
      </c>
      <c r="H453" s="8"/>
    </row>
    <row r="454">
      <c r="A454" s="6">
        <v>46086.0</v>
      </c>
      <c r="B454" s="8" t="s">
        <v>403</v>
      </c>
      <c r="C454" s="8"/>
      <c r="D454" s="10">
        <v>141.25</v>
      </c>
      <c r="E454" s="8" t="s">
        <v>154</v>
      </c>
      <c r="F454" s="8" t="s">
        <v>20</v>
      </c>
      <c r="G454" s="8" t="s">
        <v>29</v>
      </c>
      <c r="H454" s="8"/>
    </row>
    <row r="455">
      <c r="A455" s="6">
        <v>46086.0</v>
      </c>
      <c r="B455" s="8" t="s">
        <v>404</v>
      </c>
      <c r="C455" s="8"/>
      <c r="D455" s="10">
        <v>420.0</v>
      </c>
      <c r="E455" s="8" t="s">
        <v>154</v>
      </c>
      <c r="F455" s="8" t="s">
        <v>20</v>
      </c>
      <c r="G455" s="8" t="s">
        <v>29</v>
      </c>
      <c r="H455" s="8"/>
    </row>
    <row r="456">
      <c r="A456" s="6">
        <v>46084.0</v>
      </c>
      <c r="B456" s="8" t="s">
        <v>405</v>
      </c>
      <c r="C456" s="8"/>
      <c r="D456" s="10">
        <v>4.12</v>
      </c>
      <c r="E456" s="8" t="s">
        <v>19</v>
      </c>
      <c r="F456" s="8" t="s">
        <v>20</v>
      </c>
      <c r="G456" s="16" t="s">
        <v>21</v>
      </c>
      <c r="H456" s="16" t="s">
        <v>22</v>
      </c>
    </row>
    <row r="457">
      <c r="A457" s="6">
        <v>46084.0</v>
      </c>
      <c r="B457" s="8" t="s">
        <v>284</v>
      </c>
      <c r="C457" s="8"/>
      <c r="D457" s="10">
        <v>141.38</v>
      </c>
      <c r="E457" s="8" t="s">
        <v>71</v>
      </c>
      <c r="F457" s="8" t="s">
        <v>20</v>
      </c>
      <c r="G457" s="8" t="s">
        <v>29</v>
      </c>
      <c r="H457" s="8"/>
    </row>
    <row r="458">
      <c r="A458" s="6">
        <v>46084.0</v>
      </c>
      <c r="B458" s="8" t="s">
        <v>49</v>
      </c>
      <c r="C458" s="8"/>
      <c r="D458" s="10">
        <v>265.95</v>
      </c>
      <c r="E458" s="8" t="s">
        <v>50</v>
      </c>
      <c r="F458" s="8" t="s">
        <v>20</v>
      </c>
      <c r="G458" s="8" t="s">
        <v>14</v>
      </c>
      <c r="H458" s="8"/>
    </row>
    <row r="459">
      <c r="A459" s="6">
        <v>46084.0</v>
      </c>
      <c r="B459" s="8" t="s">
        <v>406</v>
      </c>
      <c r="C459" s="8"/>
      <c r="D459" s="10">
        <v>0.85</v>
      </c>
      <c r="E459" s="8" t="s">
        <v>19</v>
      </c>
      <c r="F459" s="8" t="s">
        <v>20</v>
      </c>
      <c r="G459" s="16" t="s">
        <v>21</v>
      </c>
      <c r="H459" s="16" t="s">
        <v>22</v>
      </c>
    </row>
    <row r="460">
      <c r="A460" s="6">
        <v>46084.0</v>
      </c>
      <c r="B460" s="8" t="s">
        <v>407</v>
      </c>
      <c r="C460" s="8"/>
      <c r="D460" s="10">
        <v>29.3</v>
      </c>
      <c r="E460" s="8" t="s">
        <v>38</v>
      </c>
      <c r="F460" s="8" t="s">
        <v>20</v>
      </c>
      <c r="G460" s="8" t="s">
        <v>26</v>
      </c>
      <c r="H460" s="8"/>
    </row>
    <row r="461">
      <c r="A461" s="6">
        <v>46083.0</v>
      </c>
      <c r="B461" s="8" t="s">
        <v>408</v>
      </c>
      <c r="C461" s="8"/>
      <c r="D461" s="10">
        <v>1.02</v>
      </c>
      <c r="E461" s="8" t="s">
        <v>19</v>
      </c>
      <c r="F461" s="8" t="s">
        <v>20</v>
      </c>
      <c r="G461" s="16" t="s">
        <v>21</v>
      </c>
      <c r="H461" s="16" t="s">
        <v>22</v>
      </c>
    </row>
    <row r="462">
      <c r="A462" s="6">
        <v>46083.0</v>
      </c>
      <c r="B462" s="8" t="s">
        <v>284</v>
      </c>
      <c r="C462" s="8"/>
      <c r="D462" s="10">
        <v>35.02</v>
      </c>
      <c r="E462" s="8" t="s">
        <v>71</v>
      </c>
      <c r="F462" s="8" t="s">
        <v>20</v>
      </c>
      <c r="G462" s="8" t="s">
        <v>29</v>
      </c>
      <c r="H462" s="8"/>
    </row>
    <row r="463">
      <c r="A463" s="6">
        <v>46083.0</v>
      </c>
      <c r="B463" s="8" t="s">
        <v>59</v>
      </c>
      <c r="C463" s="8"/>
      <c r="D463" s="10">
        <v>0.8</v>
      </c>
      <c r="E463" s="8" t="s">
        <v>60</v>
      </c>
      <c r="F463" s="8" t="s">
        <v>20</v>
      </c>
      <c r="G463" s="8" t="s">
        <v>26</v>
      </c>
      <c r="H463" s="8"/>
    </row>
    <row r="464">
      <c r="A464" s="6">
        <v>46083.0</v>
      </c>
      <c r="B464" s="8" t="s">
        <v>61</v>
      </c>
      <c r="C464" s="8"/>
      <c r="D464" s="10">
        <v>25.96</v>
      </c>
      <c r="E464" s="8" t="s">
        <v>62</v>
      </c>
      <c r="F464" s="8" t="s">
        <v>20</v>
      </c>
      <c r="G464" s="8" t="s">
        <v>26</v>
      </c>
      <c r="H464" s="8"/>
    </row>
    <row r="465">
      <c r="A465" s="6">
        <v>46082.0</v>
      </c>
      <c r="B465" s="8" t="s">
        <v>274</v>
      </c>
      <c r="C465" s="8"/>
      <c r="D465" s="10">
        <v>641.13</v>
      </c>
      <c r="E465" s="8" t="s">
        <v>276</v>
      </c>
      <c r="F465" s="8" t="s">
        <v>13</v>
      </c>
      <c r="G465" s="8" t="s">
        <v>14</v>
      </c>
      <c r="H465" s="8"/>
    </row>
    <row r="466">
      <c r="A466" s="6">
        <v>46082.0</v>
      </c>
      <c r="B466" s="8" t="s">
        <v>40</v>
      </c>
      <c r="C466" s="67" t="s">
        <v>362</v>
      </c>
      <c r="D466" s="10">
        <v>16.44</v>
      </c>
      <c r="E466" s="8" t="s">
        <v>208</v>
      </c>
      <c r="F466" s="16" t="s">
        <v>13</v>
      </c>
      <c r="G466" s="16" t="s">
        <v>29</v>
      </c>
      <c r="H466" s="8"/>
    </row>
    <row r="467">
      <c r="A467" s="6">
        <v>46082.0</v>
      </c>
      <c r="B467" s="8" t="s">
        <v>409</v>
      </c>
      <c r="C467" s="8"/>
      <c r="D467" s="10">
        <v>75.0</v>
      </c>
      <c r="E467" s="8" t="s">
        <v>410</v>
      </c>
      <c r="F467" s="8" t="s">
        <v>13</v>
      </c>
      <c r="G467" s="8" t="s">
        <v>29</v>
      </c>
      <c r="H467" s="8"/>
    </row>
    <row r="468">
      <c r="A468" s="6">
        <v>46081.0</v>
      </c>
      <c r="B468" s="8" t="s">
        <v>133</v>
      </c>
      <c r="C468" s="8"/>
      <c r="D468" s="10">
        <v>409.91</v>
      </c>
      <c r="E468" s="8" t="s">
        <v>134</v>
      </c>
      <c r="F468" s="8" t="s">
        <v>20</v>
      </c>
      <c r="G468" s="8" t="s">
        <v>14</v>
      </c>
      <c r="H468" s="8"/>
    </row>
    <row r="469">
      <c r="A469" s="6">
        <v>46081.0</v>
      </c>
      <c r="B469" s="8" t="s">
        <v>30</v>
      </c>
      <c r="C469" s="27" t="s">
        <v>91</v>
      </c>
      <c r="D469" s="10">
        <v>14.99</v>
      </c>
      <c r="E469" s="8" t="s">
        <v>32</v>
      </c>
      <c r="F469" s="8" t="s">
        <v>20</v>
      </c>
      <c r="G469" s="16" t="s">
        <v>29</v>
      </c>
      <c r="H469" s="8"/>
    </row>
    <row r="470">
      <c r="A470" s="6">
        <v>46081.0</v>
      </c>
      <c r="B470" s="8" t="s">
        <v>411</v>
      </c>
      <c r="C470" s="8"/>
      <c r="D470" s="10">
        <v>3.4</v>
      </c>
      <c r="E470" s="8" t="s">
        <v>19</v>
      </c>
      <c r="F470" s="8" t="s">
        <v>20</v>
      </c>
      <c r="G470" s="16" t="s">
        <v>21</v>
      </c>
      <c r="H470" s="16" t="s">
        <v>22</v>
      </c>
    </row>
    <row r="471">
      <c r="A471" s="6">
        <v>46081.0</v>
      </c>
      <c r="B471" s="8" t="s">
        <v>250</v>
      </c>
      <c r="C471" s="8"/>
      <c r="D471" s="10">
        <v>116.93</v>
      </c>
      <c r="E471" s="8" t="s">
        <v>251</v>
      </c>
      <c r="F471" s="8" t="s">
        <v>13</v>
      </c>
      <c r="G471" s="8" t="s">
        <v>29</v>
      </c>
      <c r="H471" s="8"/>
    </row>
    <row r="472">
      <c r="A472" s="6">
        <v>46080.0</v>
      </c>
      <c r="B472" s="8" t="s">
        <v>98</v>
      </c>
      <c r="C472" s="8"/>
      <c r="D472" s="10">
        <v>190.41</v>
      </c>
      <c r="E472" s="8" t="s">
        <v>99</v>
      </c>
      <c r="F472" s="8" t="s">
        <v>20</v>
      </c>
      <c r="G472" s="8" t="s">
        <v>14</v>
      </c>
      <c r="H472" s="8"/>
    </row>
    <row r="473">
      <c r="A473" s="6">
        <v>46080.0</v>
      </c>
      <c r="B473" s="8" t="s">
        <v>107</v>
      </c>
      <c r="C473" s="8"/>
      <c r="D473" s="10">
        <v>82.9</v>
      </c>
      <c r="E473" s="8" t="s">
        <v>108</v>
      </c>
      <c r="F473" s="8" t="s">
        <v>20</v>
      </c>
      <c r="G473" s="8" t="s">
        <v>29</v>
      </c>
      <c r="H473" s="8"/>
    </row>
    <row r="474">
      <c r="A474" s="6">
        <v>46079.0</v>
      </c>
      <c r="B474" s="8" t="s">
        <v>30</v>
      </c>
      <c r="C474" s="16" t="s">
        <v>109</v>
      </c>
      <c r="D474" s="10">
        <v>12.99</v>
      </c>
      <c r="E474" s="8" t="s">
        <v>32</v>
      </c>
      <c r="F474" s="8" t="s">
        <v>20</v>
      </c>
      <c r="G474" s="16" t="s">
        <v>29</v>
      </c>
      <c r="H474" s="8"/>
    </row>
    <row r="475">
      <c r="A475" s="6">
        <v>46078.0</v>
      </c>
      <c r="B475" s="8" t="s">
        <v>40</v>
      </c>
      <c r="C475" s="67" t="s">
        <v>123</v>
      </c>
      <c r="D475" s="10">
        <v>24.56</v>
      </c>
      <c r="E475" s="16" t="s">
        <v>64</v>
      </c>
      <c r="F475" s="16" t="s">
        <v>13</v>
      </c>
      <c r="G475" s="16" t="s">
        <v>26</v>
      </c>
      <c r="H475" s="8"/>
    </row>
    <row r="476">
      <c r="A476" s="6">
        <v>46078.0</v>
      </c>
      <c r="B476" s="8" t="s">
        <v>30</v>
      </c>
      <c r="C476" s="27" t="s">
        <v>91</v>
      </c>
      <c r="D476" s="10">
        <v>14.99</v>
      </c>
      <c r="E476" s="8" t="s">
        <v>32</v>
      </c>
      <c r="F476" s="8" t="s">
        <v>20</v>
      </c>
      <c r="G476" s="16" t="s">
        <v>29</v>
      </c>
      <c r="H476" s="8"/>
    </row>
    <row r="477">
      <c r="A477" s="6">
        <v>46078.0</v>
      </c>
      <c r="B477" s="8" t="s">
        <v>112</v>
      </c>
      <c r="C477" s="8"/>
      <c r="D477" s="10">
        <v>15.99</v>
      </c>
      <c r="E477" s="8" t="s">
        <v>113</v>
      </c>
      <c r="F477" s="8" t="s">
        <v>20</v>
      </c>
      <c r="G477" s="8" t="s">
        <v>26</v>
      </c>
      <c r="H477" s="8"/>
    </row>
    <row r="478">
      <c r="A478" s="6">
        <v>46077.0</v>
      </c>
      <c r="B478" s="8" t="s">
        <v>40</v>
      </c>
      <c r="C478" s="67" t="s">
        <v>123</v>
      </c>
      <c r="D478" s="10">
        <v>93.98</v>
      </c>
      <c r="E478" s="16" t="s">
        <v>64</v>
      </c>
      <c r="F478" s="16" t="s">
        <v>13</v>
      </c>
      <c r="G478" s="16" t="s">
        <v>26</v>
      </c>
      <c r="H478" s="8"/>
    </row>
    <row r="479">
      <c r="A479" s="6">
        <v>46077.0</v>
      </c>
      <c r="B479" s="8" t="s">
        <v>49</v>
      </c>
      <c r="C479" s="8"/>
      <c r="D479" s="10">
        <v>354.08</v>
      </c>
      <c r="E479" s="8" t="s">
        <v>50</v>
      </c>
      <c r="F479" s="8" t="s">
        <v>20</v>
      </c>
      <c r="G479" s="8" t="s">
        <v>14</v>
      </c>
      <c r="H479" s="8"/>
    </row>
    <row r="480">
      <c r="A480" s="6">
        <v>46077.0</v>
      </c>
      <c r="B480" s="8" t="s">
        <v>412</v>
      </c>
      <c r="C480" s="8"/>
      <c r="D480" s="10">
        <v>0.0</v>
      </c>
      <c r="E480" s="8" t="s">
        <v>143</v>
      </c>
      <c r="F480" s="8"/>
      <c r="G480" s="8" t="s">
        <v>144</v>
      </c>
      <c r="H480" s="8" t="s">
        <v>145</v>
      </c>
    </row>
    <row r="481">
      <c r="A481" s="6">
        <v>46076.0</v>
      </c>
      <c r="B481" s="8" t="s">
        <v>40</v>
      </c>
      <c r="C481" s="67" t="s">
        <v>396</v>
      </c>
      <c r="D481" s="10">
        <v>25.97</v>
      </c>
      <c r="E481" s="8" t="s">
        <v>208</v>
      </c>
      <c r="F481" s="16" t="s">
        <v>13</v>
      </c>
      <c r="G481" s="16" t="s">
        <v>29</v>
      </c>
      <c r="H481" s="16" t="s">
        <v>397</v>
      </c>
    </row>
    <row r="482">
      <c r="A482" s="6">
        <v>46076.0</v>
      </c>
      <c r="B482" s="8" t="s">
        <v>139</v>
      </c>
      <c r="C482" s="16" t="s">
        <v>413</v>
      </c>
      <c r="D482" s="10">
        <v>88.1</v>
      </c>
      <c r="E482" s="8" t="s">
        <v>57</v>
      </c>
      <c r="F482" s="16" t="s">
        <v>13</v>
      </c>
      <c r="G482" s="16" t="s">
        <v>26</v>
      </c>
      <c r="H482" s="8"/>
    </row>
    <row r="483">
      <c r="A483" s="6">
        <v>46075.0</v>
      </c>
      <c r="B483" s="8" t="s">
        <v>30</v>
      </c>
      <c r="C483" s="27" t="s">
        <v>121</v>
      </c>
      <c r="D483" s="10">
        <v>8.49</v>
      </c>
      <c r="E483" s="8" t="s">
        <v>32</v>
      </c>
      <c r="F483" s="8" t="s">
        <v>20</v>
      </c>
      <c r="G483" s="16" t="s">
        <v>29</v>
      </c>
      <c r="H483" s="8"/>
    </row>
    <row r="484">
      <c r="A484" s="6">
        <v>46075.0</v>
      </c>
      <c r="B484" s="8" t="s">
        <v>40</v>
      </c>
      <c r="C484" s="67" t="s">
        <v>354</v>
      </c>
      <c r="D484" s="10">
        <v>8.98</v>
      </c>
      <c r="E484" s="8" t="s">
        <v>208</v>
      </c>
      <c r="F484" s="16" t="s">
        <v>13</v>
      </c>
      <c r="G484" s="16" t="s">
        <v>26</v>
      </c>
      <c r="H484" s="16" t="s">
        <v>355</v>
      </c>
    </row>
    <row r="485">
      <c r="A485" s="6">
        <v>46073.0</v>
      </c>
      <c r="B485" s="8" t="s">
        <v>40</v>
      </c>
      <c r="C485" s="67" t="s">
        <v>400</v>
      </c>
      <c r="D485" s="10">
        <v>103.18</v>
      </c>
      <c r="E485" s="8" t="s">
        <v>208</v>
      </c>
      <c r="F485" s="16" t="s">
        <v>13</v>
      </c>
      <c r="G485" s="16" t="s">
        <v>26</v>
      </c>
      <c r="H485" s="16" t="s">
        <v>401</v>
      </c>
    </row>
    <row r="486">
      <c r="A486" s="6">
        <v>46072.0</v>
      </c>
      <c r="B486" s="8" t="s">
        <v>135</v>
      </c>
      <c r="C486" s="8"/>
      <c r="D486" s="10">
        <v>230.63</v>
      </c>
      <c r="E486" s="8" t="s">
        <v>136</v>
      </c>
      <c r="F486" s="8" t="s">
        <v>20</v>
      </c>
      <c r="G486" s="8" t="s">
        <v>14</v>
      </c>
      <c r="H486" s="8"/>
    </row>
    <row r="487">
      <c r="A487" s="6">
        <v>46072.0</v>
      </c>
      <c r="B487" s="8" t="s">
        <v>30</v>
      </c>
      <c r="C487" s="27" t="s">
        <v>190</v>
      </c>
      <c r="D487" s="10">
        <v>19.0</v>
      </c>
      <c r="E487" s="8" t="s">
        <v>32</v>
      </c>
      <c r="F487" s="8" t="s">
        <v>20</v>
      </c>
      <c r="G487" s="16" t="s">
        <v>26</v>
      </c>
      <c r="H487" s="8"/>
    </row>
    <row r="488">
      <c r="A488" s="6">
        <v>46072.0</v>
      </c>
      <c r="B488" s="8" t="s">
        <v>34</v>
      </c>
      <c r="C488" s="8"/>
      <c r="D488" s="10">
        <v>9.99</v>
      </c>
      <c r="E488" s="8" t="s">
        <v>35</v>
      </c>
      <c r="F488" s="8" t="s">
        <v>20</v>
      </c>
      <c r="G488" s="8" t="s">
        <v>29</v>
      </c>
      <c r="H488" s="8"/>
    </row>
    <row r="489">
      <c r="A489" s="6">
        <v>46071.0</v>
      </c>
      <c r="B489" s="8" t="s">
        <v>47</v>
      </c>
      <c r="C489" s="8"/>
      <c r="D489" s="10">
        <v>20.19</v>
      </c>
      <c r="E489" s="8" t="s">
        <v>48</v>
      </c>
      <c r="F489" s="8" t="s">
        <v>20</v>
      </c>
      <c r="G489" s="8" t="s">
        <v>26</v>
      </c>
      <c r="H489" s="8"/>
    </row>
    <row r="490">
      <c r="A490" s="6">
        <v>46071.0</v>
      </c>
      <c r="B490" s="8" t="s">
        <v>47</v>
      </c>
      <c r="C490" s="8"/>
      <c r="D490" s="10">
        <v>20.19</v>
      </c>
      <c r="E490" s="8" t="s">
        <v>48</v>
      </c>
      <c r="F490" s="8" t="s">
        <v>20</v>
      </c>
      <c r="G490" s="8" t="s">
        <v>26</v>
      </c>
      <c r="H490" s="8"/>
    </row>
    <row r="491">
      <c r="A491" s="6">
        <v>46071.0</v>
      </c>
      <c r="B491" s="8" t="s">
        <v>344</v>
      </c>
      <c r="C491" s="8"/>
      <c r="D491" s="10">
        <v>11.35</v>
      </c>
      <c r="E491" s="8" t="s">
        <v>181</v>
      </c>
      <c r="F491" s="8" t="s">
        <v>20</v>
      </c>
      <c r="G491" s="8" t="s">
        <v>14</v>
      </c>
      <c r="H491" s="8"/>
    </row>
    <row r="492">
      <c r="A492" s="6">
        <v>46070.0</v>
      </c>
      <c r="B492" s="8" t="s">
        <v>49</v>
      </c>
      <c r="C492" s="8"/>
      <c r="D492" s="10">
        <v>265.38</v>
      </c>
      <c r="E492" s="8" t="s">
        <v>50</v>
      </c>
      <c r="F492" s="8" t="s">
        <v>20</v>
      </c>
      <c r="G492" s="8" t="s">
        <v>14</v>
      </c>
      <c r="H492" s="8"/>
    </row>
    <row r="493">
      <c r="A493" s="6">
        <v>46070.0</v>
      </c>
      <c r="B493" s="8" t="s">
        <v>146</v>
      </c>
      <c r="C493" s="8"/>
      <c r="D493" s="10">
        <v>34.1</v>
      </c>
      <c r="E493" s="8" t="s">
        <v>147</v>
      </c>
      <c r="F493" s="8" t="s">
        <v>20</v>
      </c>
      <c r="G493" s="8" t="s">
        <v>14</v>
      </c>
      <c r="H493" s="8"/>
    </row>
    <row r="494">
      <c r="A494" s="6">
        <v>46069.0</v>
      </c>
      <c r="B494" s="8" t="s">
        <v>414</v>
      </c>
      <c r="C494" s="8"/>
      <c r="D494" s="10">
        <v>3.85</v>
      </c>
      <c r="E494" s="8" t="s">
        <v>19</v>
      </c>
      <c r="F494" s="8" t="s">
        <v>20</v>
      </c>
      <c r="G494" s="16" t="s">
        <v>21</v>
      </c>
      <c r="H494" s="16" t="s">
        <v>22</v>
      </c>
    </row>
    <row r="495">
      <c r="A495" s="6">
        <v>46069.0</v>
      </c>
      <c r="B495" s="8" t="s">
        <v>250</v>
      </c>
      <c r="C495" s="8"/>
      <c r="D495" s="10">
        <v>132.2</v>
      </c>
      <c r="E495" s="8" t="s">
        <v>251</v>
      </c>
      <c r="F495" s="8" t="s">
        <v>13</v>
      </c>
      <c r="G495" s="8" t="s">
        <v>29</v>
      </c>
      <c r="H495" s="8"/>
    </row>
    <row r="496">
      <c r="A496" s="6">
        <v>46069.0</v>
      </c>
      <c r="B496" s="8" t="s">
        <v>40</v>
      </c>
      <c r="C496" s="67" t="s">
        <v>362</v>
      </c>
      <c r="D496" s="10">
        <v>16.44</v>
      </c>
      <c r="E496" s="8" t="s">
        <v>208</v>
      </c>
      <c r="F496" s="16" t="s">
        <v>13</v>
      </c>
      <c r="G496" s="16" t="s">
        <v>29</v>
      </c>
      <c r="H496" s="8"/>
    </row>
    <row r="497">
      <c r="A497" s="6">
        <v>46068.0</v>
      </c>
      <c r="B497" s="8" t="s">
        <v>30</v>
      </c>
      <c r="C497" s="16" t="s">
        <v>271</v>
      </c>
      <c r="D497" s="10">
        <v>31.98</v>
      </c>
      <c r="E497" s="8" t="s">
        <v>32</v>
      </c>
      <c r="F497" s="8" t="s">
        <v>20</v>
      </c>
      <c r="G497" s="16" t="s">
        <v>26</v>
      </c>
      <c r="H497" s="8"/>
    </row>
    <row r="498">
      <c r="A498" s="6">
        <v>46068.0</v>
      </c>
      <c r="B498" s="8" t="s">
        <v>346</v>
      </c>
      <c r="C498" s="8"/>
      <c r="D498" s="10">
        <v>0.29</v>
      </c>
      <c r="E498" s="8" t="s">
        <v>19</v>
      </c>
      <c r="F498" s="8" t="s">
        <v>20</v>
      </c>
      <c r="G498" s="16" t="s">
        <v>21</v>
      </c>
      <c r="H498" s="16" t="s">
        <v>22</v>
      </c>
    </row>
    <row r="499">
      <c r="A499" s="6">
        <v>46068.0</v>
      </c>
      <c r="B499" s="8" t="s">
        <v>168</v>
      </c>
      <c r="C499" s="8"/>
      <c r="D499" s="10">
        <v>10.23</v>
      </c>
      <c r="E499" s="8" t="s">
        <v>169</v>
      </c>
      <c r="F499" s="8" t="s">
        <v>20</v>
      </c>
      <c r="G499" s="8" t="s">
        <v>26</v>
      </c>
      <c r="H499" s="8"/>
    </row>
    <row r="500">
      <c r="A500" s="6">
        <v>46067.0</v>
      </c>
      <c r="B500" s="8" t="s">
        <v>415</v>
      </c>
      <c r="C500" s="8"/>
      <c r="D500" s="10">
        <v>30.15</v>
      </c>
      <c r="E500" s="8" t="s">
        <v>248</v>
      </c>
      <c r="F500" s="8" t="s">
        <v>13</v>
      </c>
      <c r="G500" s="8" t="s">
        <v>14</v>
      </c>
      <c r="H500" s="8"/>
    </row>
    <row r="501">
      <c r="A501" s="6">
        <v>46067.0</v>
      </c>
      <c r="B501" s="8" t="s">
        <v>416</v>
      </c>
      <c r="C501" s="8"/>
      <c r="D501" s="10">
        <v>0.47</v>
      </c>
      <c r="E501" s="8" t="s">
        <v>19</v>
      </c>
      <c r="F501" s="8" t="s">
        <v>20</v>
      </c>
      <c r="G501" s="16" t="s">
        <v>21</v>
      </c>
      <c r="H501" s="16" t="s">
        <v>22</v>
      </c>
    </row>
    <row r="502">
      <c r="A502" s="6">
        <v>46067.0</v>
      </c>
      <c r="B502" s="8" t="s">
        <v>149</v>
      </c>
      <c r="C502" s="8"/>
      <c r="D502" s="10">
        <v>16.46</v>
      </c>
      <c r="E502" s="8" t="s">
        <v>150</v>
      </c>
      <c r="F502" s="8" t="s">
        <v>20</v>
      </c>
      <c r="G502" s="8" t="s">
        <v>26</v>
      </c>
      <c r="H502" s="8"/>
    </row>
    <row r="503">
      <c r="A503" s="6">
        <v>46067.0</v>
      </c>
      <c r="B503" s="8" t="s">
        <v>417</v>
      </c>
      <c r="C503" s="8"/>
      <c r="D503" s="10">
        <v>20.99</v>
      </c>
      <c r="E503" s="8" t="s">
        <v>172</v>
      </c>
      <c r="F503" s="8" t="s">
        <v>20</v>
      </c>
      <c r="G503" s="8" t="s">
        <v>14</v>
      </c>
      <c r="H503" s="8"/>
    </row>
    <row r="504">
      <c r="A504" s="6">
        <v>46067.0</v>
      </c>
      <c r="B504" s="8" t="s">
        <v>178</v>
      </c>
      <c r="C504" s="8"/>
      <c r="D504" s="10">
        <v>2.99</v>
      </c>
      <c r="E504" s="8" t="s">
        <v>179</v>
      </c>
      <c r="F504" s="8" t="s">
        <v>20</v>
      </c>
      <c r="G504" s="8" t="s">
        <v>29</v>
      </c>
      <c r="H504" s="8"/>
    </row>
    <row r="505">
      <c r="A505" s="6">
        <v>46067.0</v>
      </c>
      <c r="B505" s="8" t="s">
        <v>176</v>
      </c>
      <c r="C505" s="8"/>
      <c r="D505" s="10">
        <v>20.99</v>
      </c>
      <c r="E505" s="8" t="s">
        <v>177</v>
      </c>
      <c r="F505" s="8" t="s">
        <v>20</v>
      </c>
      <c r="G505" s="8" t="s">
        <v>26</v>
      </c>
      <c r="H505" s="8"/>
    </row>
    <row r="506">
      <c r="A506" s="6">
        <v>46067.0</v>
      </c>
      <c r="B506" s="8" t="s">
        <v>418</v>
      </c>
      <c r="C506" s="8"/>
      <c r="D506" s="10">
        <v>189.95</v>
      </c>
      <c r="E506" s="8" t="s">
        <v>419</v>
      </c>
      <c r="F506" s="8" t="s">
        <v>13</v>
      </c>
      <c r="G506" s="8" t="s">
        <v>26</v>
      </c>
      <c r="H506" s="8"/>
    </row>
    <row r="507">
      <c r="A507" s="6">
        <v>46067.0</v>
      </c>
      <c r="B507" s="8" t="s">
        <v>420</v>
      </c>
      <c r="C507" s="8"/>
      <c r="D507" s="10">
        <v>90.0</v>
      </c>
      <c r="E507" s="8" t="s">
        <v>248</v>
      </c>
      <c r="F507" s="8" t="s">
        <v>13</v>
      </c>
      <c r="G507" s="8" t="s">
        <v>14</v>
      </c>
      <c r="H507" s="8"/>
    </row>
    <row r="508">
      <c r="A508" s="6">
        <v>46066.0</v>
      </c>
      <c r="B508" s="8" t="s">
        <v>421</v>
      </c>
      <c r="C508" s="8"/>
      <c r="D508" s="10">
        <v>1.4</v>
      </c>
      <c r="E508" s="8" t="s">
        <v>19</v>
      </c>
      <c r="F508" s="8" t="s">
        <v>20</v>
      </c>
      <c r="G508" s="16" t="s">
        <v>21</v>
      </c>
      <c r="H508" s="16" t="s">
        <v>22</v>
      </c>
    </row>
    <row r="509">
      <c r="A509" s="6">
        <v>46066.0</v>
      </c>
      <c r="B509" s="8" t="s">
        <v>422</v>
      </c>
      <c r="C509" s="16" t="s">
        <v>423</v>
      </c>
      <c r="D509" s="10">
        <v>48.39</v>
      </c>
      <c r="E509" s="16" t="s">
        <v>424</v>
      </c>
      <c r="F509" s="16" t="s">
        <v>13</v>
      </c>
      <c r="G509" s="16" t="s">
        <v>26</v>
      </c>
      <c r="H509" s="8"/>
    </row>
    <row r="510">
      <c r="A510" s="6">
        <v>46066.0</v>
      </c>
      <c r="B510" s="8" t="s">
        <v>425</v>
      </c>
      <c r="C510" s="8"/>
      <c r="D510" s="10">
        <v>132.03</v>
      </c>
      <c r="E510" s="8" t="s">
        <v>268</v>
      </c>
      <c r="F510" s="8" t="s">
        <v>20</v>
      </c>
      <c r="G510" s="8" t="s">
        <v>14</v>
      </c>
      <c r="H510" s="8"/>
    </row>
    <row r="511">
      <c r="A511" s="6">
        <v>46066.0</v>
      </c>
      <c r="B511" s="8" t="s">
        <v>180</v>
      </c>
      <c r="C511" s="8"/>
      <c r="D511" s="10">
        <v>13.99</v>
      </c>
      <c r="E511" s="8" t="s">
        <v>181</v>
      </c>
      <c r="F511" s="8" t="s">
        <v>20</v>
      </c>
      <c r="G511" s="8" t="s">
        <v>14</v>
      </c>
      <c r="H511" s="8"/>
    </row>
    <row r="512">
      <c r="A512" s="6">
        <v>46066.0</v>
      </c>
      <c r="B512" s="8" t="s">
        <v>426</v>
      </c>
      <c r="C512" s="8"/>
      <c r="D512" s="10">
        <v>209.0</v>
      </c>
      <c r="E512" s="8" t="s">
        <v>427</v>
      </c>
      <c r="F512" s="8" t="s">
        <v>13</v>
      </c>
      <c r="G512" s="8" t="s">
        <v>26</v>
      </c>
      <c r="H512" s="8"/>
    </row>
    <row r="513">
      <c r="A513" s="6">
        <v>46065.0</v>
      </c>
      <c r="B513" s="8" t="s">
        <v>428</v>
      </c>
      <c r="C513" s="8"/>
      <c r="D513" s="10">
        <v>32.0</v>
      </c>
      <c r="E513" s="8" t="s">
        <v>322</v>
      </c>
      <c r="F513" s="8" t="s">
        <v>13</v>
      </c>
      <c r="G513" s="8" t="s">
        <v>26</v>
      </c>
      <c r="H513" s="8"/>
    </row>
    <row r="514">
      <c r="A514" s="6">
        <v>46064.0</v>
      </c>
      <c r="B514" s="8" t="s">
        <v>40</v>
      </c>
      <c r="C514" s="67" t="s">
        <v>123</v>
      </c>
      <c r="D514" s="10">
        <v>24.57</v>
      </c>
      <c r="E514" s="16" t="s">
        <v>64</v>
      </c>
      <c r="F514" s="16" t="s">
        <v>13</v>
      </c>
      <c r="G514" s="16" t="s">
        <v>26</v>
      </c>
      <c r="H514" s="8"/>
    </row>
    <row r="515">
      <c r="A515" s="6">
        <v>46064.0</v>
      </c>
      <c r="B515" s="8" t="s">
        <v>40</v>
      </c>
      <c r="C515" s="67" t="s">
        <v>429</v>
      </c>
      <c r="D515" s="10">
        <v>19.99</v>
      </c>
      <c r="E515" s="8" t="s">
        <v>208</v>
      </c>
      <c r="F515" s="16" t="s">
        <v>13</v>
      </c>
      <c r="G515" s="16" t="s">
        <v>26</v>
      </c>
      <c r="H515" s="16" t="s">
        <v>430</v>
      </c>
    </row>
    <row r="516">
      <c r="A516" s="6">
        <v>46064.0</v>
      </c>
      <c r="B516" s="8" t="s">
        <v>139</v>
      </c>
      <c r="C516" s="16" t="s">
        <v>413</v>
      </c>
      <c r="D516" s="10">
        <v>35.19</v>
      </c>
      <c r="E516" s="8" t="s">
        <v>57</v>
      </c>
      <c r="F516" s="16" t="s">
        <v>13</v>
      </c>
      <c r="G516" s="16" t="s">
        <v>26</v>
      </c>
      <c r="H516" s="8"/>
    </row>
    <row r="517">
      <c r="A517" s="6">
        <v>46063.0</v>
      </c>
      <c r="B517" s="8" t="s">
        <v>66</v>
      </c>
      <c r="C517" s="8"/>
      <c r="D517" s="10">
        <v>83.27</v>
      </c>
      <c r="E517" s="8" t="s">
        <v>68</v>
      </c>
      <c r="F517" s="8" t="s">
        <v>20</v>
      </c>
      <c r="G517" s="8" t="s">
        <v>26</v>
      </c>
      <c r="H517" s="8"/>
    </row>
    <row r="518">
      <c r="A518" s="6">
        <v>46063.0</v>
      </c>
      <c r="B518" s="8" t="s">
        <v>40</v>
      </c>
      <c r="C518" s="67" t="s">
        <v>123</v>
      </c>
      <c r="D518" s="10">
        <v>93.98</v>
      </c>
      <c r="E518" s="16" t="s">
        <v>64</v>
      </c>
      <c r="F518" s="16" t="s">
        <v>13</v>
      </c>
      <c r="G518" s="16" t="s">
        <v>26</v>
      </c>
      <c r="H518" s="8"/>
    </row>
    <row r="519">
      <c r="A519" s="6">
        <v>46063.0</v>
      </c>
      <c r="B519" s="8" t="s">
        <v>139</v>
      </c>
      <c r="C519" s="16" t="s">
        <v>413</v>
      </c>
      <c r="D519" s="10">
        <v>43.94</v>
      </c>
      <c r="E519" s="8" t="s">
        <v>57</v>
      </c>
      <c r="F519" s="16" t="s">
        <v>13</v>
      </c>
      <c r="G519" s="16" t="s">
        <v>26</v>
      </c>
      <c r="H519" s="8"/>
    </row>
    <row r="520">
      <c r="A520" s="6">
        <v>46063.0</v>
      </c>
      <c r="B520" s="8" t="s">
        <v>49</v>
      </c>
      <c r="C520" s="8"/>
      <c r="D520" s="10">
        <v>94.09</v>
      </c>
      <c r="E520" s="8" t="s">
        <v>50</v>
      </c>
      <c r="F520" s="8" t="s">
        <v>20</v>
      </c>
      <c r="G520" s="8" t="s">
        <v>14</v>
      </c>
      <c r="H520" s="8"/>
    </row>
    <row r="521">
      <c r="A521" s="6">
        <v>46063.0</v>
      </c>
      <c r="B521" s="8" t="s">
        <v>356</v>
      </c>
      <c r="C521" s="8"/>
      <c r="D521" s="10">
        <v>26.6</v>
      </c>
      <c r="E521" s="8" t="s">
        <v>162</v>
      </c>
      <c r="F521" s="8" t="s">
        <v>20</v>
      </c>
      <c r="G521" s="8" t="s">
        <v>29</v>
      </c>
      <c r="H521" s="8"/>
    </row>
    <row r="522">
      <c r="A522" s="6">
        <v>46062.0</v>
      </c>
      <c r="B522" s="8" t="s">
        <v>395</v>
      </c>
      <c r="C522" s="8"/>
      <c r="D522" s="10">
        <v>19.0</v>
      </c>
      <c r="E522" s="8" t="s">
        <v>188</v>
      </c>
      <c r="F522" s="8" t="s">
        <v>20</v>
      </c>
      <c r="G522" s="8" t="s">
        <v>26</v>
      </c>
      <c r="H522" s="8"/>
    </row>
    <row r="523">
      <c r="A523" s="6">
        <v>46062.0</v>
      </c>
      <c r="B523" s="8" t="s">
        <v>40</v>
      </c>
      <c r="C523" s="67" t="s">
        <v>396</v>
      </c>
      <c r="D523" s="10">
        <v>25.97</v>
      </c>
      <c r="E523" s="8" t="s">
        <v>208</v>
      </c>
      <c r="F523" s="16" t="s">
        <v>13</v>
      </c>
      <c r="G523" s="16" t="s">
        <v>29</v>
      </c>
      <c r="H523" s="16" t="s">
        <v>397</v>
      </c>
    </row>
    <row r="524">
      <c r="A524" s="6">
        <v>46062.0</v>
      </c>
      <c r="B524" s="8" t="s">
        <v>10</v>
      </c>
      <c r="C524" s="8"/>
      <c r="D524" s="10">
        <v>18.52</v>
      </c>
      <c r="E524" s="8" t="s">
        <v>11</v>
      </c>
      <c r="F524" s="8" t="s">
        <v>13</v>
      </c>
      <c r="G524" s="8" t="s">
        <v>14</v>
      </c>
      <c r="H524" s="8"/>
    </row>
    <row r="525">
      <c r="A525" s="6">
        <v>46062.0</v>
      </c>
      <c r="B525" s="8" t="s">
        <v>59</v>
      </c>
      <c r="C525" s="8"/>
      <c r="D525" s="10">
        <v>0.84</v>
      </c>
      <c r="E525" s="8" t="s">
        <v>60</v>
      </c>
      <c r="F525" s="8" t="s">
        <v>20</v>
      </c>
      <c r="G525" s="8" t="s">
        <v>26</v>
      </c>
      <c r="H525" s="8"/>
    </row>
    <row r="526">
      <c r="A526" s="6">
        <v>46059.0</v>
      </c>
      <c r="B526" s="8" t="s">
        <v>40</v>
      </c>
      <c r="C526" s="67" t="s">
        <v>400</v>
      </c>
      <c r="D526" s="10">
        <v>103.18</v>
      </c>
      <c r="E526" s="8" t="s">
        <v>208</v>
      </c>
      <c r="F526" s="16" t="s">
        <v>13</v>
      </c>
      <c r="G526" s="16" t="s">
        <v>26</v>
      </c>
      <c r="H526" s="16" t="s">
        <v>401</v>
      </c>
    </row>
    <row r="527">
      <c r="A527" s="6">
        <v>46057.0</v>
      </c>
      <c r="B527" s="8" t="s">
        <v>431</v>
      </c>
      <c r="C527" s="8"/>
      <c r="D527" s="10">
        <v>-620.0</v>
      </c>
      <c r="E527" s="8" t="s">
        <v>329</v>
      </c>
      <c r="F527" s="8"/>
      <c r="G527" s="8" t="s">
        <v>144</v>
      </c>
      <c r="H527" s="8" t="s">
        <v>264</v>
      </c>
    </row>
    <row r="528">
      <c r="A528" s="6">
        <v>46057.0</v>
      </c>
      <c r="B528" s="8" t="s">
        <v>432</v>
      </c>
      <c r="C528" s="8"/>
      <c r="D528" s="10">
        <v>55.0</v>
      </c>
      <c r="E528" s="8" t="s">
        <v>433</v>
      </c>
      <c r="F528" s="8" t="s">
        <v>13</v>
      </c>
      <c r="G528" s="8" t="s">
        <v>29</v>
      </c>
      <c r="H528" s="8"/>
    </row>
    <row r="529">
      <c r="A529" s="6">
        <v>46057.0</v>
      </c>
      <c r="B529" s="8" t="s">
        <v>434</v>
      </c>
      <c r="C529" s="8"/>
      <c r="D529" s="10">
        <v>152.1</v>
      </c>
      <c r="E529" s="8" t="s">
        <v>435</v>
      </c>
      <c r="F529" s="8" t="s">
        <v>13</v>
      </c>
      <c r="G529" s="8" t="s">
        <v>26</v>
      </c>
      <c r="H529" s="8"/>
    </row>
    <row r="530">
      <c r="A530" s="6">
        <v>46057.0</v>
      </c>
      <c r="B530" s="8" t="s">
        <v>436</v>
      </c>
      <c r="C530" s="8"/>
      <c r="D530" s="10">
        <v>101.2</v>
      </c>
      <c r="E530" s="8" t="s">
        <v>437</v>
      </c>
      <c r="F530" s="8" t="s">
        <v>13</v>
      </c>
      <c r="G530" s="8" t="s">
        <v>26</v>
      </c>
      <c r="H530" s="8"/>
    </row>
    <row r="531">
      <c r="A531" s="6">
        <v>46057.0</v>
      </c>
      <c r="B531" s="8" t="s">
        <v>436</v>
      </c>
      <c r="C531" s="8"/>
      <c r="D531" s="10">
        <v>202.4</v>
      </c>
      <c r="E531" s="8" t="s">
        <v>437</v>
      </c>
      <c r="F531" s="8" t="s">
        <v>13</v>
      </c>
      <c r="G531" s="8" t="s">
        <v>26</v>
      </c>
      <c r="H531" s="8"/>
    </row>
    <row r="532">
      <c r="A532" s="6">
        <v>46056.0</v>
      </c>
      <c r="B532" s="8" t="s">
        <v>30</v>
      </c>
      <c r="C532" s="16" t="s">
        <v>438</v>
      </c>
      <c r="D532" s="10">
        <v>24.99</v>
      </c>
      <c r="E532" s="8" t="s">
        <v>32</v>
      </c>
      <c r="F532" s="8" t="s">
        <v>20</v>
      </c>
      <c r="G532" s="16" t="s">
        <v>26</v>
      </c>
      <c r="H532" s="8"/>
    </row>
    <row r="533">
      <c r="A533" s="6">
        <v>46056.0</v>
      </c>
      <c r="B533" s="8" t="s">
        <v>55</v>
      </c>
      <c r="C533" s="16" t="s">
        <v>439</v>
      </c>
      <c r="D533" s="10">
        <v>15.99</v>
      </c>
      <c r="E533" s="16" t="s">
        <v>141</v>
      </c>
      <c r="F533" s="16" t="s">
        <v>13</v>
      </c>
      <c r="G533" s="16" t="s">
        <v>29</v>
      </c>
      <c r="H533" s="8"/>
    </row>
    <row r="534">
      <c r="A534" s="6">
        <v>46056.0</v>
      </c>
      <c r="B534" s="8" t="s">
        <v>344</v>
      </c>
      <c r="C534" s="8"/>
      <c r="D534" s="10">
        <v>19.71</v>
      </c>
      <c r="E534" s="8" t="s">
        <v>181</v>
      </c>
      <c r="F534" s="8" t="s">
        <v>20</v>
      </c>
      <c r="G534" s="8" t="s">
        <v>14</v>
      </c>
      <c r="H534" s="8"/>
    </row>
    <row r="535">
      <c r="A535" s="6">
        <v>46054.0</v>
      </c>
      <c r="B535" s="8" t="s">
        <v>440</v>
      </c>
      <c r="C535" s="8"/>
      <c r="D535" s="10">
        <v>7.83</v>
      </c>
      <c r="E535" s="8" t="s">
        <v>341</v>
      </c>
      <c r="F535" s="8" t="s">
        <v>13</v>
      </c>
      <c r="G535" s="8" t="s">
        <v>29</v>
      </c>
      <c r="H535" s="8"/>
    </row>
    <row r="536">
      <c r="A536" s="6">
        <v>46054.0</v>
      </c>
      <c r="B536" s="8" t="s">
        <v>221</v>
      </c>
      <c r="C536" s="8"/>
      <c r="D536" s="10">
        <v>5.09</v>
      </c>
      <c r="E536" s="8" t="s">
        <v>19</v>
      </c>
      <c r="F536" s="8" t="s">
        <v>20</v>
      </c>
      <c r="G536" s="16" t="s">
        <v>21</v>
      </c>
      <c r="H536" s="16" t="s">
        <v>22</v>
      </c>
    </row>
    <row r="537">
      <c r="A537" s="6">
        <v>46054.0</v>
      </c>
      <c r="B537" s="8" t="s">
        <v>284</v>
      </c>
      <c r="C537" s="8"/>
      <c r="D537" s="10">
        <v>175.08</v>
      </c>
      <c r="E537" s="8" t="s">
        <v>71</v>
      </c>
      <c r="F537" s="8" t="s">
        <v>20</v>
      </c>
      <c r="G537" s="8" t="s">
        <v>29</v>
      </c>
      <c r="H537" s="8"/>
    </row>
    <row r="538">
      <c r="A538" s="6">
        <v>46054.0</v>
      </c>
      <c r="B538" s="8" t="s">
        <v>61</v>
      </c>
      <c r="C538" s="8"/>
      <c r="D538" s="10">
        <v>25.96</v>
      </c>
      <c r="E538" s="8" t="s">
        <v>62</v>
      </c>
      <c r="F538" s="8" t="s">
        <v>20</v>
      </c>
      <c r="G538" s="8" t="s">
        <v>26</v>
      </c>
      <c r="H538" s="8"/>
    </row>
    <row r="539">
      <c r="A539" s="6">
        <v>46053.0</v>
      </c>
      <c r="B539" s="8" t="s">
        <v>441</v>
      </c>
      <c r="C539" s="8"/>
      <c r="D539" s="10">
        <v>0.0</v>
      </c>
      <c r="E539" s="8" t="s">
        <v>143</v>
      </c>
      <c r="F539" s="8"/>
      <c r="G539" s="8" t="s">
        <v>144</v>
      </c>
      <c r="H539" s="8" t="s">
        <v>145</v>
      </c>
    </row>
    <row r="540">
      <c r="A540" s="6">
        <v>46052.0</v>
      </c>
      <c r="B540" s="8" t="s">
        <v>442</v>
      </c>
      <c r="C540" s="8"/>
      <c r="D540" s="10">
        <v>380.0</v>
      </c>
      <c r="E540" s="8" t="s">
        <v>341</v>
      </c>
      <c r="F540" s="8" t="s">
        <v>13</v>
      </c>
      <c r="G540" s="8" t="s">
        <v>29</v>
      </c>
      <c r="H540" s="8"/>
    </row>
    <row r="541">
      <c r="A541" s="6">
        <v>46052.0</v>
      </c>
      <c r="B541" s="8" t="s">
        <v>442</v>
      </c>
      <c r="C541" s="8"/>
      <c r="D541" s="10">
        <v>249.0</v>
      </c>
      <c r="E541" s="8" t="s">
        <v>341</v>
      </c>
      <c r="F541" s="8" t="s">
        <v>13</v>
      </c>
      <c r="G541" s="8" t="s">
        <v>29</v>
      </c>
      <c r="H541" s="8"/>
    </row>
    <row r="542">
      <c r="A542" s="6">
        <v>46052.0</v>
      </c>
      <c r="B542" s="8" t="s">
        <v>161</v>
      </c>
      <c r="C542" s="8"/>
      <c r="D542" s="10">
        <v>360.0</v>
      </c>
      <c r="E542" s="8" t="s">
        <v>162</v>
      </c>
      <c r="F542" s="8" t="s">
        <v>20</v>
      </c>
      <c r="G542" s="8" t="s">
        <v>29</v>
      </c>
      <c r="H542" s="8"/>
    </row>
    <row r="543">
      <c r="A543" s="6">
        <v>46051.0</v>
      </c>
      <c r="B543" s="8" t="s">
        <v>30</v>
      </c>
      <c r="C543" s="27" t="s">
        <v>91</v>
      </c>
      <c r="D543" s="10">
        <v>14.99</v>
      </c>
      <c r="E543" s="8" t="s">
        <v>32</v>
      </c>
      <c r="F543" s="8" t="s">
        <v>20</v>
      </c>
      <c r="G543" s="16" t="s">
        <v>29</v>
      </c>
      <c r="H543" s="8"/>
    </row>
    <row r="544">
      <c r="A544" s="6">
        <v>46051.0</v>
      </c>
      <c r="B544" s="8" t="s">
        <v>55</v>
      </c>
      <c r="C544" s="16" t="s">
        <v>413</v>
      </c>
      <c r="D544" s="10">
        <v>28.48</v>
      </c>
      <c r="E544" s="8" t="s">
        <v>57</v>
      </c>
      <c r="F544" s="16" t="s">
        <v>13</v>
      </c>
      <c r="G544" s="16" t="s">
        <v>26</v>
      </c>
      <c r="H544" s="8"/>
    </row>
    <row r="545">
      <c r="A545" s="6">
        <v>46051.0</v>
      </c>
      <c r="B545" s="8" t="s">
        <v>55</v>
      </c>
      <c r="C545" s="16" t="s">
        <v>413</v>
      </c>
      <c r="D545" s="10">
        <v>38.13</v>
      </c>
      <c r="E545" s="8" t="s">
        <v>57</v>
      </c>
      <c r="F545" s="16" t="s">
        <v>13</v>
      </c>
      <c r="G545" s="16" t="s">
        <v>26</v>
      </c>
      <c r="H545" s="8"/>
    </row>
    <row r="546">
      <c r="A546" s="6">
        <v>46050.0</v>
      </c>
      <c r="B546" s="8" t="s">
        <v>443</v>
      </c>
      <c r="C546" s="8"/>
      <c r="D546" s="10">
        <v>32.0</v>
      </c>
      <c r="E546" s="8" t="s">
        <v>322</v>
      </c>
      <c r="F546" s="8" t="s">
        <v>13</v>
      </c>
      <c r="G546" s="8" t="s">
        <v>26</v>
      </c>
      <c r="H546" s="8"/>
    </row>
    <row r="547">
      <c r="A547" s="6">
        <v>46050.0</v>
      </c>
      <c r="B547" s="8" t="s">
        <v>30</v>
      </c>
      <c r="C547" s="16" t="s">
        <v>31</v>
      </c>
      <c r="D547" s="10">
        <v>8.99</v>
      </c>
      <c r="E547" s="8" t="s">
        <v>32</v>
      </c>
      <c r="F547" s="8" t="s">
        <v>20</v>
      </c>
      <c r="G547" s="16" t="s">
        <v>26</v>
      </c>
      <c r="H547" s="8"/>
    </row>
    <row r="548">
      <c r="A548" s="6">
        <v>46050.0</v>
      </c>
      <c r="B548" s="8" t="s">
        <v>444</v>
      </c>
      <c r="C548" s="8"/>
      <c r="D548" s="10">
        <v>-12.9</v>
      </c>
      <c r="E548" s="8" t="s">
        <v>329</v>
      </c>
      <c r="F548" s="8"/>
      <c r="G548" s="8" t="s">
        <v>144</v>
      </c>
      <c r="H548" s="8" t="s">
        <v>264</v>
      </c>
    </row>
    <row r="549">
      <c r="A549" s="6">
        <v>46050.0</v>
      </c>
      <c r="B549" s="8" t="s">
        <v>444</v>
      </c>
      <c r="C549" s="8"/>
      <c r="D549" s="10">
        <v>-7.41</v>
      </c>
      <c r="E549" s="8" t="s">
        <v>329</v>
      </c>
      <c r="F549" s="8"/>
      <c r="G549" s="8" t="s">
        <v>144</v>
      </c>
      <c r="H549" s="8" t="s">
        <v>264</v>
      </c>
    </row>
    <row r="550">
      <c r="A550" s="6">
        <v>46050.0</v>
      </c>
      <c r="B550" s="8" t="s">
        <v>40</v>
      </c>
      <c r="C550" s="67" t="s">
        <v>445</v>
      </c>
      <c r="D550" s="10">
        <v>32.49</v>
      </c>
      <c r="E550" s="8" t="s">
        <v>208</v>
      </c>
      <c r="F550" s="16" t="s">
        <v>13</v>
      </c>
      <c r="G550" s="16" t="s">
        <v>26</v>
      </c>
      <c r="H550" s="16" t="s">
        <v>430</v>
      </c>
    </row>
    <row r="551">
      <c r="A551" s="6">
        <v>46050.0</v>
      </c>
      <c r="B551" s="8" t="s">
        <v>40</v>
      </c>
      <c r="C551" s="67" t="s">
        <v>396</v>
      </c>
      <c r="D551" s="10">
        <v>54.87</v>
      </c>
      <c r="E551" s="8" t="s">
        <v>208</v>
      </c>
      <c r="F551" s="16" t="s">
        <v>13</v>
      </c>
      <c r="G551" s="16" t="s">
        <v>29</v>
      </c>
      <c r="H551" s="16" t="s">
        <v>397</v>
      </c>
    </row>
    <row r="552">
      <c r="A552" s="6">
        <v>46050.0</v>
      </c>
      <c r="B552" s="8" t="s">
        <v>40</v>
      </c>
      <c r="C552" s="67" t="s">
        <v>123</v>
      </c>
      <c r="D552" s="10">
        <v>24.57</v>
      </c>
      <c r="E552" s="16" t="s">
        <v>64</v>
      </c>
      <c r="F552" s="16" t="s">
        <v>13</v>
      </c>
      <c r="G552" s="16" t="s">
        <v>26</v>
      </c>
      <c r="H552" s="8"/>
    </row>
    <row r="553">
      <c r="A553" s="6">
        <v>46050.0</v>
      </c>
      <c r="B553" s="8" t="s">
        <v>40</v>
      </c>
      <c r="C553" s="67" t="s">
        <v>446</v>
      </c>
      <c r="D553" s="10">
        <v>173.43</v>
      </c>
      <c r="E553" s="8" t="s">
        <v>208</v>
      </c>
      <c r="F553" s="16" t="s">
        <v>13</v>
      </c>
      <c r="G553" s="16" t="s">
        <v>26</v>
      </c>
      <c r="H553" s="8"/>
    </row>
    <row r="554">
      <c r="A554" s="6">
        <v>46050.0</v>
      </c>
      <c r="B554" s="8" t="s">
        <v>40</v>
      </c>
      <c r="C554" s="67" t="s">
        <v>429</v>
      </c>
      <c r="D554" s="10">
        <v>20.0</v>
      </c>
      <c r="E554" s="8" t="s">
        <v>208</v>
      </c>
      <c r="F554" s="16" t="s">
        <v>13</v>
      </c>
      <c r="G554" s="16" t="s">
        <v>26</v>
      </c>
      <c r="H554" s="16" t="s">
        <v>430</v>
      </c>
    </row>
    <row r="555">
      <c r="A555" s="6">
        <v>46050.0</v>
      </c>
      <c r="B555" s="8" t="s">
        <v>40</v>
      </c>
      <c r="C555" s="67" t="s">
        <v>123</v>
      </c>
      <c r="D555" s="10">
        <v>93.98</v>
      </c>
      <c r="E555" s="16" t="s">
        <v>64</v>
      </c>
      <c r="F555" s="16" t="s">
        <v>13</v>
      </c>
      <c r="G555" s="16" t="s">
        <v>26</v>
      </c>
      <c r="H555" s="8"/>
    </row>
    <row r="556">
      <c r="A556" s="6">
        <v>46049.0</v>
      </c>
      <c r="B556" s="8" t="s">
        <v>447</v>
      </c>
      <c r="C556" s="16" t="s">
        <v>448</v>
      </c>
      <c r="D556" s="10">
        <v>429.0</v>
      </c>
      <c r="E556" s="8" t="s">
        <v>32</v>
      </c>
      <c r="F556" s="16" t="s">
        <v>13</v>
      </c>
      <c r="G556" s="16" t="s">
        <v>29</v>
      </c>
      <c r="H556" s="8"/>
    </row>
    <row r="557">
      <c r="A557" s="6">
        <v>46049.0</v>
      </c>
      <c r="B557" s="8" t="s">
        <v>447</v>
      </c>
      <c r="C557" s="16" t="s">
        <v>449</v>
      </c>
      <c r="D557" s="10">
        <v>1999.0</v>
      </c>
      <c r="E557" s="8" t="s">
        <v>32</v>
      </c>
      <c r="F557" s="16" t="s">
        <v>13</v>
      </c>
      <c r="G557" s="16" t="s">
        <v>26</v>
      </c>
      <c r="H557" s="8"/>
    </row>
    <row r="558">
      <c r="A558" s="6">
        <v>46049.0</v>
      </c>
      <c r="B558" s="8" t="s">
        <v>98</v>
      </c>
      <c r="C558" s="8"/>
      <c r="D558" s="10">
        <v>190.41</v>
      </c>
      <c r="E558" s="8" t="s">
        <v>99</v>
      </c>
      <c r="F558" s="8" t="s">
        <v>20</v>
      </c>
      <c r="G558" s="8" t="s">
        <v>14</v>
      </c>
      <c r="H558" s="8"/>
    </row>
    <row r="559">
      <c r="A559" s="6">
        <v>46049.0</v>
      </c>
      <c r="B559" s="8" t="s">
        <v>40</v>
      </c>
      <c r="C559" s="67" t="s">
        <v>396</v>
      </c>
      <c r="D559" s="10">
        <v>25.98</v>
      </c>
      <c r="E559" s="8" t="s">
        <v>208</v>
      </c>
      <c r="F559" s="16" t="s">
        <v>13</v>
      </c>
      <c r="G559" s="16" t="s">
        <v>29</v>
      </c>
      <c r="H559" s="16" t="s">
        <v>397</v>
      </c>
    </row>
    <row r="560">
      <c r="A560" s="6">
        <v>46049.0</v>
      </c>
      <c r="B560" s="8" t="s">
        <v>107</v>
      </c>
      <c r="C560" s="8"/>
      <c r="D560" s="10">
        <v>82.88</v>
      </c>
      <c r="E560" s="8" t="s">
        <v>108</v>
      </c>
      <c r="F560" s="8" t="s">
        <v>20</v>
      </c>
      <c r="G560" s="8" t="s">
        <v>29</v>
      </c>
      <c r="H560" s="8"/>
    </row>
    <row r="561">
      <c r="A561" s="6">
        <v>46048.0</v>
      </c>
      <c r="B561" s="8" t="s">
        <v>47</v>
      </c>
      <c r="C561" s="8"/>
      <c r="D561" s="10">
        <v>20.17</v>
      </c>
      <c r="E561" s="8" t="s">
        <v>48</v>
      </c>
      <c r="F561" s="8" t="s">
        <v>20</v>
      </c>
      <c r="G561" s="8" t="s">
        <v>26</v>
      </c>
      <c r="H561" s="8"/>
    </row>
    <row r="562">
      <c r="A562" s="6">
        <v>46047.0</v>
      </c>
      <c r="B562" s="8" t="s">
        <v>182</v>
      </c>
      <c r="C562" s="8"/>
      <c r="D562" s="10">
        <v>99.9</v>
      </c>
      <c r="E562" s="8" t="s">
        <v>162</v>
      </c>
      <c r="F562" s="8" t="s">
        <v>20</v>
      </c>
      <c r="G562" s="8" t="s">
        <v>29</v>
      </c>
      <c r="H562" s="8"/>
    </row>
    <row r="563">
      <c r="A563" s="6">
        <v>46047.0</v>
      </c>
      <c r="B563" s="8" t="s">
        <v>450</v>
      </c>
      <c r="C563" s="8"/>
      <c r="D563" s="10">
        <v>-100.0</v>
      </c>
      <c r="E563" s="8" t="s">
        <v>329</v>
      </c>
      <c r="F563" s="8"/>
      <c r="G563" s="8" t="s">
        <v>144</v>
      </c>
      <c r="H563" s="8" t="s">
        <v>264</v>
      </c>
    </row>
    <row r="564">
      <c r="A564" s="6">
        <v>46047.0</v>
      </c>
      <c r="B564" s="8" t="s">
        <v>450</v>
      </c>
      <c r="C564" s="8"/>
      <c r="D564" s="10">
        <v>-300.0</v>
      </c>
      <c r="E564" s="8" t="s">
        <v>329</v>
      </c>
      <c r="F564" s="8"/>
      <c r="G564" s="8" t="s">
        <v>144</v>
      </c>
      <c r="H564" s="8" t="s">
        <v>264</v>
      </c>
    </row>
    <row r="565">
      <c r="A565" s="6">
        <v>46047.0</v>
      </c>
      <c r="B565" s="8" t="s">
        <v>30</v>
      </c>
      <c r="C565" s="27" t="s">
        <v>91</v>
      </c>
      <c r="D565" s="10">
        <v>14.99</v>
      </c>
      <c r="E565" s="8" t="s">
        <v>32</v>
      </c>
      <c r="F565" s="8" t="s">
        <v>20</v>
      </c>
      <c r="G565" s="16" t="s">
        <v>29</v>
      </c>
      <c r="H565" s="8"/>
    </row>
    <row r="566">
      <c r="A566" s="6">
        <v>46047.0</v>
      </c>
      <c r="B566" s="8" t="s">
        <v>112</v>
      </c>
      <c r="C566" s="8"/>
      <c r="D566" s="10">
        <v>15.99</v>
      </c>
      <c r="E566" s="8" t="s">
        <v>113</v>
      </c>
      <c r="F566" s="8" t="s">
        <v>20</v>
      </c>
      <c r="G566" s="8" t="s">
        <v>26</v>
      </c>
      <c r="H566" s="8"/>
    </row>
    <row r="567">
      <c r="A567" s="6">
        <v>46046.0</v>
      </c>
      <c r="B567" s="8" t="s">
        <v>40</v>
      </c>
      <c r="C567" s="67" t="s">
        <v>400</v>
      </c>
      <c r="D567" s="10">
        <v>103.18</v>
      </c>
      <c r="E567" s="8" t="s">
        <v>208</v>
      </c>
      <c r="F567" s="16" t="s">
        <v>13</v>
      </c>
      <c r="G567" s="16" t="s">
        <v>26</v>
      </c>
      <c r="H567" s="16" t="s">
        <v>401</v>
      </c>
    </row>
    <row r="568">
      <c r="A568" s="6">
        <v>46046.0</v>
      </c>
      <c r="B568" s="8" t="s">
        <v>451</v>
      </c>
      <c r="C568" s="8"/>
      <c r="D568" s="10">
        <v>24.69</v>
      </c>
      <c r="E568" s="8" t="s">
        <v>452</v>
      </c>
      <c r="F568" s="8" t="s">
        <v>13</v>
      </c>
      <c r="G568" s="8" t="s">
        <v>29</v>
      </c>
      <c r="H568" s="8"/>
    </row>
    <row r="569">
      <c r="A569" s="6">
        <v>46045.0</v>
      </c>
      <c r="B569" s="8" t="s">
        <v>453</v>
      </c>
      <c r="C569" s="8"/>
      <c r="D569" s="10">
        <v>0.0</v>
      </c>
      <c r="E569" s="8" t="s">
        <v>143</v>
      </c>
      <c r="F569" s="8"/>
      <c r="G569" s="8" t="s">
        <v>144</v>
      </c>
      <c r="H569" s="8" t="s">
        <v>145</v>
      </c>
    </row>
    <row r="570">
      <c r="A570" s="6">
        <v>46044.0</v>
      </c>
      <c r="B570" s="8" t="s">
        <v>30</v>
      </c>
      <c r="C570" s="27" t="s">
        <v>121</v>
      </c>
      <c r="D570" s="10">
        <v>8.49</v>
      </c>
      <c r="E570" s="8" t="s">
        <v>32</v>
      </c>
      <c r="F570" s="8" t="s">
        <v>20</v>
      </c>
      <c r="G570" s="16" t="s">
        <v>29</v>
      </c>
      <c r="H570" s="8"/>
    </row>
    <row r="571">
      <c r="A571" s="6">
        <v>46044.0</v>
      </c>
      <c r="B571" s="8" t="s">
        <v>454</v>
      </c>
      <c r="C571" s="8"/>
      <c r="D571" s="10">
        <v>1258.32</v>
      </c>
      <c r="E571" s="8" t="s">
        <v>455</v>
      </c>
      <c r="F571" s="8" t="s">
        <v>13</v>
      </c>
      <c r="G571" s="8" t="s">
        <v>26</v>
      </c>
      <c r="H571" s="8"/>
    </row>
    <row r="572">
      <c r="A572" s="6">
        <v>46044.0</v>
      </c>
      <c r="B572" s="8" t="s">
        <v>30</v>
      </c>
      <c r="C572" s="16" t="s">
        <v>109</v>
      </c>
      <c r="D572" s="10">
        <v>12.99</v>
      </c>
      <c r="E572" s="8" t="s">
        <v>32</v>
      </c>
      <c r="F572" s="8" t="s">
        <v>20</v>
      </c>
      <c r="G572" s="16" t="s">
        <v>26</v>
      </c>
      <c r="H572" s="8"/>
    </row>
    <row r="573">
      <c r="A573" s="6">
        <v>46044.0</v>
      </c>
      <c r="B573" s="8" t="s">
        <v>30</v>
      </c>
      <c r="C573" s="16" t="s">
        <v>456</v>
      </c>
      <c r="D573" s="10">
        <v>15.99</v>
      </c>
      <c r="E573" s="8" t="s">
        <v>32</v>
      </c>
      <c r="F573" s="8" t="s">
        <v>20</v>
      </c>
      <c r="G573" s="16" t="s">
        <v>26</v>
      </c>
      <c r="H573" s="8"/>
    </row>
    <row r="574">
      <c r="A574" s="6">
        <v>46044.0</v>
      </c>
      <c r="B574" s="8" t="s">
        <v>133</v>
      </c>
      <c r="C574" s="8"/>
      <c r="D574" s="10">
        <v>423.62</v>
      </c>
      <c r="E574" s="8" t="s">
        <v>134</v>
      </c>
      <c r="F574" s="8" t="s">
        <v>20</v>
      </c>
      <c r="G574" s="8" t="s">
        <v>14</v>
      </c>
      <c r="H574" s="8"/>
    </row>
    <row r="575">
      <c r="A575" s="6">
        <v>46043.0</v>
      </c>
      <c r="B575" s="8" t="s">
        <v>66</v>
      </c>
      <c r="C575" s="8"/>
      <c r="D575" s="10">
        <v>86.48</v>
      </c>
      <c r="E575" s="8" t="s">
        <v>68</v>
      </c>
      <c r="F575" s="8" t="s">
        <v>20</v>
      </c>
      <c r="G575" s="8" t="s">
        <v>26</v>
      </c>
      <c r="H575" s="8"/>
    </row>
    <row r="576">
      <c r="A576" s="6">
        <v>46043.0</v>
      </c>
      <c r="B576" s="8" t="s">
        <v>425</v>
      </c>
      <c r="C576" s="8"/>
      <c r="D576" s="10">
        <v>99.08</v>
      </c>
      <c r="E576" s="8" t="s">
        <v>268</v>
      </c>
      <c r="F576" s="8" t="s">
        <v>20</v>
      </c>
      <c r="G576" s="8" t="s">
        <v>14</v>
      </c>
      <c r="H576" s="8"/>
    </row>
    <row r="577">
      <c r="A577" s="6">
        <v>46043.0</v>
      </c>
      <c r="B577" s="8" t="s">
        <v>457</v>
      </c>
      <c r="C577" s="8"/>
      <c r="D577" s="10">
        <v>344.5</v>
      </c>
      <c r="E577" s="8" t="s">
        <v>458</v>
      </c>
      <c r="F577" s="8" t="s">
        <v>13</v>
      </c>
      <c r="G577" s="8" t="s">
        <v>29</v>
      </c>
      <c r="H577" s="8"/>
    </row>
    <row r="578">
      <c r="A578" s="6">
        <v>46042.0</v>
      </c>
      <c r="B578" s="8" t="s">
        <v>30</v>
      </c>
      <c r="C578" s="16" t="s">
        <v>459</v>
      </c>
      <c r="D578" s="10">
        <v>9.99</v>
      </c>
      <c r="E578" s="8" t="s">
        <v>32</v>
      </c>
      <c r="F578" s="8" t="s">
        <v>20</v>
      </c>
      <c r="G578" s="16" t="s">
        <v>26</v>
      </c>
      <c r="H578" s="8"/>
    </row>
    <row r="579">
      <c r="A579" s="6">
        <v>46042.0</v>
      </c>
      <c r="B579" s="8" t="s">
        <v>139</v>
      </c>
      <c r="C579" s="16" t="s">
        <v>460</v>
      </c>
      <c r="D579" s="10">
        <v>16.78</v>
      </c>
      <c r="E579" s="16" t="s">
        <v>141</v>
      </c>
      <c r="F579" s="16" t="s">
        <v>13</v>
      </c>
      <c r="G579" s="16" t="s">
        <v>29</v>
      </c>
      <c r="H579" s="8"/>
    </row>
    <row r="580">
      <c r="A580" s="6">
        <v>46042.0</v>
      </c>
      <c r="B580" s="8" t="s">
        <v>47</v>
      </c>
      <c r="C580" s="8"/>
      <c r="D580" s="10">
        <v>20.17</v>
      </c>
      <c r="E580" s="8" t="s">
        <v>48</v>
      </c>
      <c r="F580" s="8" t="s">
        <v>20</v>
      </c>
      <c r="G580" s="8" t="s">
        <v>26</v>
      </c>
      <c r="H580" s="8"/>
    </row>
    <row r="581">
      <c r="A581" s="6">
        <v>46042.0</v>
      </c>
      <c r="B581" s="8" t="s">
        <v>461</v>
      </c>
      <c r="C581" s="8"/>
      <c r="D581" s="10">
        <v>1289.81</v>
      </c>
      <c r="E581" s="8" t="s">
        <v>462</v>
      </c>
      <c r="F581" s="8" t="s">
        <v>13</v>
      </c>
      <c r="G581" s="8" t="s">
        <v>14</v>
      </c>
      <c r="H581" s="8"/>
    </row>
    <row r="582">
      <c r="A582" s="6">
        <v>46042.0</v>
      </c>
      <c r="B582" s="8" t="s">
        <v>49</v>
      </c>
      <c r="C582" s="8"/>
      <c r="D582" s="10">
        <v>617.51</v>
      </c>
      <c r="E582" s="8" t="s">
        <v>50</v>
      </c>
      <c r="F582" s="8" t="s">
        <v>20</v>
      </c>
      <c r="G582" s="8" t="s">
        <v>14</v>
      </c>
      <c r="H582" s="8"/>
    </row>
    <row r="583">
      <c r="A583" s="6">
        <v>46042.0</v>
      </c>
      <c r="B583" s="8" t="s">
        <v>146</v>
      </c>
      <c r="C583" s="8"/>
      <c r="D583" s="10">
        <v>53.9</v>
      </c>
      <c r="E583" s="8" t="s">
        <v>147</v>
      </c>
      <c r="F583" s="8" t="s">
        <v>20</v>
      </c>
      <c r="G583" s="8" t="s">
        <v>14</v>
      </c>
      <c r="H583" s="8"/>
    </row>
    <row r="584">
      <c r="A584" s="6">
        <v>46041.0</v>
      </c>
      <c r="B584" s="8" t="s">
        <v>34</v>
      </c>
      <c r="C584" s="8"/>
      <c r="D584" s="10">
        <v>9.99</v>
      </c>
      <c r="E584" s="8" t="s">
        <v>35</v>
      </c>
      <c r="F584" s="8" t="s">
        <v>20</v>
      </c>
      <c r="G584" s="8" t="s">
        <v>29</v>
      </c>
      <c r="H584" s="8"/>
    </row>
    <row r="585">
      <c r="A585" s="6">
        <v>46041.0</v>
      </c>
      <c r="B585" s="8" t="s">
        <v>135</v>
      </c>
      <c r="C585" s="8"/>
      <c r="D585" s="10">
        <v>230.63</v>
      </c>
      <c r="E585" s="8" t="s">
        <v>136</v>
      </c>
      <c r="F585" s="8" t="s">
        <v>20</v>
      </c>
      <c r="G585" s="8" t="s">
        <v>14</v>
      </c>
      <c r="H585" s="8"/>
    </row>
    <row r="586">
      <c r="A586" s="6">
        <v>46041.0</v>
      </c>
      <c r="B586" s="8" t="s">
        <v>55</v>
      </c>
      <c r="C586" s="16" t="s">
        <v>463</v>
      </c>
      <c r="D586" s="10">
        <v>9.7</v>
      </c>
      <c r="E586" s="16" t="s">
        <v>141</v>
      </c>
      <c r="F586" s="16" t="s">
        <v>13</v>
      </c>
      <c r="G586" s="16" t="s">
        <v>29</v>
      </c>
      <c r="H586" s="8"/>
    </row>
    <row r="587">
      <c r="A587" s="6">
        <v>46041.0</v>
      </c>
      <c r="B587" s="8" t="s">
        <v>55</v>
      </c>
      <c r="C587" s="16" t="s">
        <v>463</v>
      </c>
      <c r="D587" s="10">
        <v>17.26</v>
      </c>
      <c r="E587" s="16" t="s">
        <v>141</v>
      </c>
      <c r="F587" s="16" t="s">
        <v>13</v>
      </c>
      <c r="G587" s="16" t="s">
        <v>29</v>
      </c>
      <c r="H587" s="8"/>
    </row>
    <row r="588">
      <c r="A588" s="6">
        <v>46041.0</v>
      </c>
      <c r="B588" s="8" t="s">
        <v>464</v>
      </c>
      <c r="C588" s="8"/>
      <c r="D588" s="10">
        <v>0.0</v>
      </c>
      <c r="E588" s="8" t="s">
        <v>143</v>
      </c>
      <c r="F588" s="8"/>
      <c r="G588" s="8" t="s">
        <v>144</v>
      </c>
      <c r="H588" s="8" t="s">
        <v>145</v>
      </c>
    </row>
    <row r="589">
      <c r="A589" s="6">
        <v>46041.0</v>
      </c>
      <c r="B589" s="8" t="s">
        <v>245</v>
      </c>
      <c r="C589" s="8"/>
      <c r="D589" s="10">
        <v>4545.0</v>
      </c>
      <c r="E589" s="8" t="s">
        <v>246</v>
      </c>
      <c r="F589" s="8" t="s">
        <v>13</v>
      </c>
      <c r="G589" s="8" t="s">
        <v>14</v>
      </c>
      <c r="H589" s="8"/>
    </row>
    <row r="590">
      <c r="A590" s="6">
        <v>46040.0</v>
      </c>
      <c r="B590" s="8" t="s">
        <v>219</v>
      </c>
      <c r="C590" s="8"/>
      <c r="D590" s="10">
        <v>0.87</v>
      </c>
      <c r="E590" s="8" t="s">
        <v>19</v>
      </c>
      <c r="F590" s="8" t="s">
        <v>20</v>
      </c>
      <c r="G590" s="16" t="s">
        <v>21</v>
      </c>
      <c r="H590" s="16" t="s">
        <v>22</v>
      </c>
    </row>
    <row r="591">
      <c r="A591" s="6">
        <v>46040.0</v>
      </c>
      <c r="B591" s="8" t="s">
        <v>465</v>
      </c>
      <c r="C591" s="8"/>
      <c r="D591" s="10">
        <v>29.98</v>
      </c>
      <c r="E591" s="8" t="s">
        <v>309</v>
      </c>
      <c r="F591" s="8" t="s">
        <v>20</v>
      </c>
      <c r="G591" s="8" t="s">
        <v>310</v>
      </c>
      <c r="H591" s="8"/>
    </row>
    <row r="592">
      <c r="A592" s="6">
        <v>46040.0</v>
      </c>
      <c r="B592" s="8" t="s">
        <v>55</v>
      </c>
      <c r="C592" s="16" t="s">
        <v>463</v>
      </c>
      <c r="D592" s="10">
        <v>15.99</v>
      </c>
      <c r="E592" s="16" t="s">
        <v>141</v>
      </c>
      <c r="F592" s="16" t="s">
        <v>13</v>
      </c>
      <c r="G592" s="16" t="s">
        <v>29</v>
      </c>
      <c r="H592" s="8"/>
    </row>
    <row r="593">
      <c r="A593" s="6">
        <v>46040.0</v>
      </c>
      <c r="B593" s="8" t="s">
        <v>55</v>
      </c>
      <c r="C593" s="16" t="s">
        <v>463</v>
      </c>
      <c r="D593" s="10">
        <v>8.0</v>
      </c>
      <c r="E593" s="16" t="s">
        <v>141</v>
      </c>
      <c r="F593" s="16" t="s">
        <v>13</v>
      </c>
      <c r="G593" s="16" t="s">
        <v>29</v>
      </c>
      <c r="H593" s="8"/>
    </row>
    <row r="594">
      <c r="A594" s="6">
        <v>46039.0</v>
      </c>
      <c r="B594" s="8" t="s">
        <v>457</v>
      </c>
      <c r="C594" s="8"/>
      <c r="D594" s="10">
        <v>998.0</v>
      </c>
      <c r="E594" s="8" t="s">
        <v>458</v>
      </c>
      <c r="F594" s="8" t="s">
        <v>13</v>
      </c>
      <c r="G594" s="8" t="s">
        <v>29</v>
      </c>
      <c r="H594" s="8"/>
    </row>
    <row r="595">
      <c r="A595" s="6">
        <v>46039.0</v>
      </c>
      <c r="B595" s="8" t="s">
        <v>457</v>
      </c>
      <c r="C595" s="8"/>
      <c r="D595" s="10">
        <v>158.0</v>
      </c>
      <c r="E595" s="8" t="s">
        <v>458</v>
      </c>
      <c r="F595" s="8" t="s">
        <v>13</v>
      </c>
      <c r="G595" s="8" t="s">
        <v>29</v>
      </c>
      <c r="H595" s="8"/>
    </row>
    <row r="596">
      <c r="A596" s="6">
        <v>46038.0</v>
      </c>
      <c r="B596" s="8" t="s">
        <v>119</v>
      </c>
      <c r="C596" s="8"/>
      <c r="D596" s="10">
        <v>536.52</v>
      </c>
      <c r="E596" s="8" t="s">
        <v>120</v>
      </c>
      <c r="F596" s="8" t="s">
        <v>13</v>
      </c>
      <c r="G596" s="8" t="s">
        <v>14</v>
      </c>
      <c r="H596" s="8"/>
    </row>
    <row r="597">
      <c r="A597" s="6">
        <v>46037.0</v>
      </c>
      <c r="B597" s="8" t="s">
        <v>40</v>
      </c>
      <c r="C597" s="67" t="s">
        <v>123</v>
      </c>
      <c r="D597" s="10">
        <v>24.57</v>
      </c>
      <c r="E597" s="16" t="s">
        <v>64</v>
      </c>
      <c r="F597" s="16" t="s">
        <v>13</v>
      </c>
      <c r="G597" s="16" t="s">
        <v>26</v>
      </c>
      <c r="H597" s="8"/>
    </row>
    <row r="598">
      <c r="A598" s="6">
        <v>46037.0</v>
      </c>
      <c r="B598" s="8" t="s">
        <v>466</v>
      </c>
      <c r="C598" s="8"/>
      <c r="D598" s="10">
        <v>0.31</v>
      </c>
      <c r="E598" s="8" t="s">
        <v>19</v>
      </c>
      <c r="F598" s="8" t="s">
        <v>20</v>
      </c>
      <c r="G598" s="16" t="s">
        <v>21</v>
      </c>
      <c r="H598" s="16" t="s">
        <v>22</v>
      </c>
    </row>
    <row r="599">
      <c r="A599" s="6">
        <v>46037.0</v>
      </c>
      <c r="B599" s="8" t="s">
        <v>168</v>
      </c>
      <c r="C599" s="8"/>
      <c r="D599" s="10">
        <v>10.8</v>
      </c>
      <c r="E599" s="8" t="s">
        <v>169</v>
      </c>
      <c r="F599" s="8" t="s">
        <v>20</v>
      </c>
      <c r="G599" s="8" t="s">
        <v>26</v>
      </c>
      <c r="H599" s="8"/>
    </row>
    <row r="600">
      <c r="A600" s="6">
        <v>46037.0</v>
      </c>
      <c r="B600" s="8" t="s">
        <v>49</v>
      </c>
      <c r="C600" s="8"/>
      <c r="D600" s="10">
        <v>617.51</v>
      </c>
      <c r="E600" s="8" t="s">
        <v>50</v>
      </c>
      <c r="F600" s="8" t="s">
        <v>20</v>
      </c>
      <c r="G600" s="8" t="s">
        <v>14</v>
      </c>
      <c r="H600" s="8"/>
    </row>
    <row r="601">
      <c r="A601" s="6">
        <v>46037.0</v>
      </c>
      <c r="B601" s="8" t="s">
        <v>467</v>
      </c>
      <c r="C601" s="8"/>
      <c r="D601" s="10">
        <v>0.0</v>
      </c>
      <c r="E601" s="8" t="s">
        <v>143</v>
      </c>
      <c r="F601" s="8"/>
      <c r="G601" s="8" t="s">
        <v>144</v>
      </c>
      <c r="H601" s="8" t="s">
        <v>145</v>
      </c>
    </row>
    <row r="602">
      <c r="A602" s="6">
        <v>46036.0</v>
      </c>
      <c r="B602" s="8" t="s">
        <v>468</v>
      </c>
      <c r="C602" s="8"/>
      <c r="D602" s="10">
        <v>20.99</v>
      </c>
      <c r="E602" s="8" t="s">
        <v>172</v>
      </c>
      <c r="F602" s="8" t="s">
        <v>20</v>
      </c>
      <c r="G602" s="8" t="s">
        <v>14</v>
      </c>
      <c r="H602" s="8"/>
    </row>
    <row r="603">
      <c r="A603" s="6">
        <v>46036.0</v>
      </c>
      <c r="B603" s="8" t="s">
        <v>176</v>
      </c>
      <c r="C603" s="8"/>
      <c r="D603" s="10">
        <v>20.99</v>
      </c>
      <c r="E603" s="8" t="s">
        <v>177</v>
      </c>
      <c r="F603" s="8" t="s">
        <v>20</v>
      </c>
      <c r="G603" s="8" t="s">
        <v>26</v>
      </c>
      <c r="H603" s="8"/>
    </row>
    <row r="604">
      <c r="A604" s="6">
        <v>46036.0</v>
      </c>
      <c r="B604" s="8" t="s">
        <v>416</v>
      </c>
      <c r="C604" s="8"/>
      <c r="D604" s="10">
        <v>0.47</v>
      </c>
      <c r="E604" s="8" t="s">
        <v>19</v>
      </c>
      <c r="F604" s="8" t="s">
        <v>20</v>
      </c>
      <c r="G604" s="16" t="s">
        <v>21</v>
      </c>
      <c r="H604" s="16" t="s">
        <v>22</v>
      </c>
    </row>
    <row r="605">
      <c r="A605" s="6">
        <v>46036.0</v>
      </c>
      <c r="B605" s="8" t="s">
        <v>149</v>
      </c>
      <c r="C605" s="8"/>
      <c r="D605" s="10">
        <v>16.46</v>
      </c>
      <c r="E605" s="8" t="s">
        <v>150</v>
      </c>
      <c r="F605" s="8" t="s">
        <v>20</v>
      </c>
      <c r="G605" s="8" t="s">
        <v>26</v>
      </c>
      <c r="H605" s="8"/>
    </row>
    <row r="606">
      <c r="A606" s="6">
        <v>46036.0</v>
      </c>
      <c r="B606" s="8" t="s">
        <v>40</v>
      </c>
      <c r="C606" s="67" t="s">
        <v>446</v>
      </c>
      <c r="D606" s="10">
        <v>173.44</v>
      </c>
      <c r="E606" s="8" t="s">
        <v>208</v>
      </c>
      <c r="F606" s="16" t="s">
        <v>13</v>
      </c>
      <c r="G606" s="16" t="s">
        <v>26</v>
      </c>
      <c r="H606" s="8"/>
    </row>
    <row r="607">
      <c r="A607" s="6">
        <v>46036.0</v>
      </c>
      <c r="B607" s="8" t="s">
        <v>40</v>
      </c>
      <c r="C607" s="67" t="s">
        <v>396</v>
      </c>
      <c r="D607" s="10">
        <v>54.88</v>
      </c>
      <c r="E607" s="8" t="s">
        <v>208</v>
      </c>
      <c r="F607" s="16" t="s">
        <v>13</v>
      </c>
      <c r="G607" s="16" t="s">
        <v>29</v>
      </c>
      <c r="H607" s="16" t="s">
        <v>397</v>
      </c>
    </row>
    <row r="608">
      <c r="A608" s="6">
        <v>46036.0</v>
      </c>
      <c r="B608" s="8" t="s">
        <v>40</v>
      </c>
      <c r="C608" s="67" t="s">
        <v>445</v>
      </c>
      <c r="D608" s="10">
        <v>32.5</v>
      </c>
      <c r="E608" s="8" t="s">
        <v>208</v>
      </c>
      <c r="F608" s="16" t="s">
        <v>13</v>
      </c>
      <c r="G608" s="16" t="s">
        <v>26</v>
      </c>
      <c r="H608" s="16" t="s">
        <v>430</v>
      </c>
    </row>
    <row r="609">
      <c r="A609" s="6">
        <v>46036.0</v>
      </c>
      <c r="B609" s="8" t="s">
        <v>40</v>
      </c>
      <c r="C609" s="67" t="s">
        <v>429</v>
      </c>
      <c r="D609" s="10">
        <v>20.0</v>
      </c>
      <c r="E609" s="8" t="s">
        <v>208</v>
      </c>
      <c r="F609" s="16" t="s">
        <v>13</v>
      </c>
      <c r="G609" s="16" t="s">
        <v>26</v>
      </c>
      <c r="H609" s="16" t="s">
        <v>430</v>
      </c>
    </row>
    <row r="610">
      <c r="A610" s="6">
        <v>46036.0</v>
      </c>
      <c r="B610" s="8" t="s">
        <v>178</v>
      </c>
      <c r="C610" s="8"/>
      <c r="D610" s="10">
        <v>2.99</v>
      </c>
      <c r="E610" s="8" t="s">
        <v>179</v>
      </c>
      <c r="F610" s="8" t="s">
        <v>20</v>
      </c>
      <c r="G610" s="8" t="s">
        <v>29</v>
      </c>
      <c r="H610" s="8"/>
    </row>
    <row r="611">
      <c r="A611" s="6">
        <v>46035.0</v>
      </c>
      <c r="B611" s="8" t="s">
        <v>469</v>
      </c>
      <c r="C611" s="8"/>
      <c r="D611" s="10">
        <v>2.67</v>
      </c>
      <c r="E611" s="8" t="s">
        <v>19</v>
      </c>
      <c r="F611" s="8" t="s">
        <v>20</v>
      </c>
      <c r="G611" s="16" t="s">
        <v>21</v>
      </c>
      <c r="H611" s="16" t="s">
        <v>22</v>
      </c>
    </row>
    <row r="612">
      <c r="A612" s="6">
        <v>46035.0</v>
      </c>
      <c r="B612" s="8" t="s">
        <v>470</v>
      </c>
      <c r="C612" s="8"/>
      <c r="D612" s="10">
        <v>91.67</v>
      </c>
      <c r="E612" s="8" t="s">
        <v>471</v>
      </c>
      <c r="F612" s="8" t="s">
        <v>13</v>
      </c>
      <c r="G612" s="8" t="s">
        <v>26</v>
      </c>
      <c r="H612" s="8"/>
    </row>
    <row r="613">
      <c r="A613" s="6">
        <v>46035.0</v>
      </c>
      <c r="B613" s="8" t="s">
        <v>180</v>
      </c>
      <c r="C613" s="8"/>
      <c r="D613" s="10">
        <v>13.99</v>
      </c>
      <c r="E613" s="8" t="s">
        <v>181</v>
      </c>
      <c r="F613" s="8" t="s">
        <v>20</v>
      </c>
      <c r="G613" s="8" t="s">
        <v>14</v>
      </c>
      <c r="H613" s="8"/>
    </row>
    <row r="614">
      <c r="A614" s="6">
        <v>46034.0</v>
      </c>
      <c r="B614" s="8" t="s">
        <v>30</v>
      </c>
      <c r="C614" s="16" t="s">
        <v>472</v>
      </c>
      <c r="D614" s="10">
        <v>35.97</v>
      </c>
      <c r="E614" s="8" t="s">
        <v>32</v>
      </c>
      <c r="F614" s="8" t="s">
        <v>20</v>
      </c>
      <c r="G614" s="16" t="s">
        <v>26</v>
      </c>
      <c r="H614" s="8"/>
    </row>
    <row r="615">
      <c r="A615" s="6">
        <v>46034.0</v>
      </c>
      <c r="B615" s="8" t="s">
        <v>55</v>
      </c>
      <c r="C615" s="16" t="s">
        <v>140</v>
      </c>
      <c r="D615" s="10">
        <v>47.99</v>
      </c>
      <c r="E615" s="8" t="s">
        <v>57</v>
      </c>
      <c r="F615" s="16" t="s">
        <v>13</v>
      </c>
      <c r="G615" s="16" t="s">
        <v>26</v>
      </c>
      <c r="H615" s="8"/>
    </row>
    <row r="616">
      <c r="A616" s="6">
        <v>46034.0</v>
      </c>
      <c r="B616" s="8" t="s">
        <v>55</v>
      </c>
      <c r="C616" s="16" t="s">
        <v>473</v>
      </c>
      <c r="D616" s="10">
        <v>29.99</v>
      </c>
      <c r="E616" s="16" t="s">
        <v>64</v>
      </c>
      <c r="F616" s="16" t="s">
        <v>13</v>
      </c>
      <c r="G616" s="16" t="s">
        <v>14</v>
      </c>
      <c r="H616" s="8"/>
    </row>
    <row r="617">
      <c r="A617" s="6">
        <v>46034.0</v>
      </c>
      <c r="B617" s="8" t="s">
        <v>55</v>
      </c>
      <c r="C617" s="16" t="s">
        <v>140</v>
      </c>
      <c r="D617" s="10">
        <v>25.49</v>
      </c>
      <c r="E617" s="8" t="s">
        <v>57</v>
      </c>
      <c r="F617" s="16" t="s">
        <v>13</v>
      </c>
      <c r="G617" s="16" t="s">
        <v>26</v>
      </c>
      <c r="H617" s="8"/>
    </row>
    <row r="618">
      <c r="A618" s="6">
        <v>46033.0</v>
      </c>
      <c r="B618" s="8" t="s">
        <v>55</v>
      </c>
      <c r="C618" s="16"/>
      <c r="D618" s="10">
        <v>28.99</v>
      </c>
      <c r="E618" s="8" t="s">
        <v>57</v>
      </c>
      <c r="F618" s="8" t="s">
        <v>20</v>
      </c>
      <c r="G618" s="16" t="s">
        <v>29</v>
      </c>
      <c r="H618" s="8"/>
    </row>
    <row r="619">
      <c r="A619" s="6">
        <v>46033.0</v>
      </c>
      <c r="B619" s="8" t="s">
        <v>55</v>
      </c>
      <c r="C619" s="16" t="s">
        <v>463</v>
      </c>
      <c r="D619" s="10">
        <v>60.94</v>
      </c>
      <c r="E619" s="8" t="s">
        <v>57</v>
      </c>
      <c r="F619" s="16" t="s">
        <v>13</v>
      </c>
      <c r="G619" s="16" t="s">
        <v>29</v>
      </c>
      <c r="H619" s="8"/>
    </row>
    <row r="620">
      <c r="A620" s="6">
        <v>46032.0</v>
      </c>
      <c r="B620" s="8" t="s">
        <v>474</v>
      </c>
      <c r="C620" s="8"/>
      <c r="D620" s="10">
        <v>843.37</v>
      </c>
      <c r="E620" s="8" t="s">
        <v>455</v>
      </c>
      <c r="F620" s="8" t="s">
        <v>13</v>
      </c>
      <c r="G620" s="8" t="s">
        <v>26</v>
      </c>
      <c r="H620" s="8"/>
    </row>
    <row r="621">
      <c r="A621" s="6">
        <v>46032.0</v>
      </c>
      <c r="B621" s="8" t="s">
        <v>474</v>
      </c>
      <c r="C621" s="8"/>
      <c r="D621" s="10">
        <v>462.11</v>
      </c>
      <c r="E621" s="8" t="s">
        <v>455</v>
      </c>
      <c r="F621" s="8" t="s">
        <v>13</v>
      </c>
      <c r="G621" s="8" t="s">
        <v>26</v>
      </c>
      <c r="H621" s="8"/>
    </row>
    <row r="622">
      <c r="A622" s="6">
        <v>46032.0</v>
      </c>
      <c r="B622" s="8" t="s">
        <v>66</v>
      </c>
      <c r="C622" s="8"/>
      <c r="D622" s="10">
        <v>92.18</v>
      </c>
      <c r="E622" s="8" t="s">
        <v>68</v>
      </c>
      <c r="F622" s="8" t="s">
        <v>20</v>
      </c>
      <c r="G622" s="8" t="s">
        <v>26</v>
      </c>
      <c r="H622" s="8"/>
    </row>
    <row r="623">
      <c r="A623" s="6">
        <v>46031.0</v>
      </c>
      <c r="B623" s="8" t="s">
        <v>30</v>
      </c>
      <c r="C623" s="27" t="s">
        <v>190</v>
      </c>
      <c r="D623" s="10">
        <v>19.0</v>
      </c>
      <c r="E623" s="8" t="s">
        <v>32</v>
      </c>
      <c r="F623" s="8" t="s">
        <v>20</v>
      </c>
      <c r="G623" s="16" t="s">
        <v>26</v>
      </c>
      <c r="H623" s="8"/>
    </row>
    <row r="624">
      <c r="A624" s="6">
        <v>46031.0</v>
      </c>
      <c r="B624" s="8" t="s">
        <v>395</v>
      </c>
      <c r="C624" s="8"/>
      <c r="D624" s="10">
        <v>19.0</v>
      </c>
      <c r="E624" s="8" t="s">
        <v>188</v>
      </c>
      <c r="F624" s="8" t="s">
        <v>20</v>
      </c>
      <c r="G624" s="8" t="s">
        <v>26</v>
      </c>
      <c r="H624" s="8"/>
    </row>
    <row r="625">
      <c r="A625" s="6">
        <v>46030.0</v>
      </c>
      <c r="B625" s="8" t="s">
        <v>55</v>
      </c>
      <c r="C625" s="16"/>
      <c r="D625" s="10">
        <v>16.99</v>
      </c>
      <c r="E625" s="8" t="s">
        <v>57</v>
      </c>
      <c r="F625" s="8" t="s">
        <v>20</v>
      </c>
      <c r="G625" s="16" t="s">
        <v>29</v>
      </c>
      <c r="H625" s="8"/>
    </row>
    <row r="626">
      <c r="A626" s="6">
        <v>46028.0</v>
      </c>
      <c r="B626" s="8" t="s">
        <v>47</v>
      </c>
      <c r="C626" s="8"/>
      <c r="D626" s="10">
        <v>20.17</v>
      </c>
      <c r="E626" s="8" t="s">
        <v>48</v>
      </c>
      <c r="F626" s="8" t="s">
        <v>20</v>
      </c>
      <c r="G626" s="8" t="s">
        <v>26</v>
      </c>
      <c r="H626" s="8"/>
    </row>
    <row r="627">
      <c r="A627" s="6">
        <v>46028.0</v>
      </c>
      <c r="B627" s="8" t="s">
        <v>49</v>
      </c>
      <c r="C627" s="8"/>
      <c r="D627" s="10">
        <v>617.51</v>
      </c>
      <c r="E627" s="8" t="s">
        <v>50</v>
      </c>
      <c r="F627" s="8" t="s">
        <v>20</v>
      </c>
      <c r="G627" s="8" t="s">
        <v>14</v>
      </c>
      <c r="H627" s="8"/>
    </row>
    <row r="628">
      <c r="A628" s="6">
        <v>46028.0</v>
      </c>
      <c r="B628" s="8" t="s">
        <v>49</v>
      </c>
      <c r="C628" s="8"/>
      <c r="D628" s="10">
        <v>2.2</v>
      </c>
      <c r="E628" s="8" t="s">
        <v>50</v>
      </c>
      <c r="F628" s="8" t="s">
        <v>20</v>
      </c>
      <c r="G628" s="8" t="s">
        <v>14</v>
      </c>
      <c r="H628" s="8"/>
    </row>
    <row r="629">
      <c r="A629" s="6">
        <v>46028.0</v>
      </c>
      <c r="B629" s="8" t="s">
        <v>457</v>
      </c>
      <c r="C629" s="8"/>
      <c r="D629" s="10">
        <v>344.5</v>
      </c>
      <c r="E629" s="8" t="s">
        <v>458</v>
      </c>
      <c r="F629" s="8" t="s">
        <v>13</v>
      </c>
      <c r="G629" s="8" t="s">
        <v>29</v>
      </c>
      <c r="H629" s="8"/>
    </row>
    <row r="630">
      <c r="A630" s="6">
        <v>46027.0</v>
      </c>
      <c r="B630" s="8" t="s">
        <v>40</v>
      </c>
      <c r="C630" s="67" t="s">
        <v>475</v>
      </c>
      <c r="D630" s="10">
        <v>84.25</v>
      </c>
      <c r="E630" s="16" t="s">
        <v>141</v>
      </c>
      <c r="F630" s="16" t="s">
        <v>13</v>
      </c>
      <c r="G630" s="16" t="s">
        <v>29</v>
      </c>
      <c r="H630" s="8"/>
    </row>
    <row r="631">
      <c r="A631" s="6">
        <v>46027.0</v>
      </c>
      <c r="B631" s="8" t="s">
        <v>47</v>
      </c>
      <c r="C631" s="8"/>
      <c r="D631" s="10">
        <v>20.17</v>
      </c>
      <c r="E631" s="8" t="s">
        <v>48</v>
      </c>
      <c r="F631" s="8" t="s">
        <v>20</v>
      </c>
      <c r="G631" s="8" t="s">
        <v>26</v>
      </c>
      <c r="H631" s="8"/>
    </row>
    <row r="632">
      <c r="A632" s="6">
        <v>46026.0</v>
      </c>
      <c r="B632" s="8" t="s">
        <v>307</v>
      </c>
      <c r="C632" s="8"/>
      <c r="D632" s="10">
        <v>3.8</v>
      </c>
      <c r="E632" s="8" t="s">
        <v>19</v>
      </c>
      <c r="F632" s="8" t="s">
        <v>20</v>
      </c>
      <c r="G632" s="16" t="s">
        <v>21</v>
      </c>
      <c r="H632" s="16" t="s">
        <v>22</v>
      </c>
    </row>
    <row r="633">
      <c r="A633" s="6">
        <v>46026.0</v>
      </c>
      <c r="B633" s="8" t="s">
        <v>476</v>
      </c>
      <c r="C633" s="8"/>
      <c r="D633" s="10">
        <v>130.62</v>
      </c>
      <c r="E633" s="8" t="s">
        <v>341</v>
      </c>
      <c r="F633" s="8" t="s">
        <v>13</v>
      </c>
      <c r="G633" s="8" t="s">
        <v>29</v>
      </c>
      <c r="H633" s="8"/>
    </row>
    <row r="634">
      <c r="A634" s="6">
        <v>46026.0</v>
      </c>
      <c r="B634" s="8" t="s">
        <v>66</v>
      </c>
      <c r="C634" s="8"/>
      <c r="D634" s="10">
        <v>76.22</v>
      </c>
      <c r="E634" s="8" t="s">
        <v>68</v>
      </c>
      <c r="F634" s="8" t="s">
        <v>20</v>
      </c>
      <c r="G634" s="8" t="s">
        <v>26</v>
      </c>
      <c r="H634" s="8"/>
    </row>
    <row r="635">
      <c r="A635" s="6">
        <v>46026.0</v>
      </c>
      <c r="B635" s="8" t="s">
        <v>425</v>
      </c>
      <c r="C635" s="8"/>
      <c r="D635" s="10">
        <v>136.54</v>
      </c>
      <c r="E635" s="8" t="s">
        <v>268</v>
      </c>
      <c r="F635" s="8" t="s">
        <v>20</v>
      </c>
      <c r="G635" s="8" t="s">
        <v>14</v>
      </c>
      <c r="H635" s="8"/>
    </row>
    <row r="636">
      <c r="A636" s="6">
        <v>46024.0</v>
      </c>
      <c r="B636" s="8" t="s">
        <v>356</v>
      </c>
      <c r="C636" s="8"/>
      <c r="D636" s="10">
        <v>26.6</v>
      </c>
      <c r="E636" s="8" t="s">
        <v>162</v>
      </c>
      <c r="F636" s="8" t="s">
        <v>20</v>
      </c>
      <c r="G636" s="8" t="s">
        <v>29</v>
      </c>
      <c r="H636" s="8"/>
    </row>
    <row r="637">
      <c r="A637" s="6">
        <v>46024.0</v>
      </c>
      <c r="B637" s="8" t="s">
        <v>477</v>
      </c>
      <c r="C637" s="8"/>
      <c r="D637" s="10">
        <v>83.99</v>
      </c>
      <c r="E637" s="8" t="s">
        <v>268</v>
      </c>
      <c r="F637" s="8" t="s">
        <v>20</v>
      </c>
      <c r="G637" s="8" t="s">
        <v>14</v>
      </c>
      <c r="H637" s="8"/>
    </row>
    <row r="638">
      <c r="A638" s="6">
        <v>46024.0</v>
      </c>
      <c r="B638" s="8" t="s">
        <v>478</v>
      </c>
      <c r="C638" s="8"/>
      <c r="D638" s="10">
        <v>103.1</v>
      </c>
      <c r="E638" s="8" t="s">
        <v>479</v>
      </c>
      <c r="F638" s="8" t="s">
        <v>13</v>
      </c>
      <c r="G638" s="8" t="s">
        <v>26</v>
      </c>
      <c r="H638" s="8"/>
    </row>
    <row r="639">
      <c r="A639" s="6">
        <v>46023.0</v>
      </c>
      <c r="B639" s="8" t="s">
        <v>480</v>
      </c>
      <c r="C639" s="8"/>
      <c r="D639" s="10">
        <v>0.43</v>
      </c>
      <c r="E639" s="8" t="s">
        <v>19</v>
      </c>
      <c r="F639" s="8" t="s">
        <v>20</v>
      </c>
      <c r="G639" s="16" t="s">
        <v>21</v>
      </c>
      <c r="H639" s="16" t="s">
        <v>22</v>
      </c>
    </row>
    <row r="640">
      <c r="A640" s="6">
        <v>46023.0</v>
      </c>
      <c r="B640" s="8" t="s">
        <v>481</v>
      </c>
      <c r="C640" s="8"/>
      <c r="D640" s="10">
        <v>14.92</v>
      </c>
      <c r="E640" s="8" t="s">
        <v>482</v>
      </c>
      <c r="F640" s="8" t="s">
        <v>13</v>
      </c>
      <c r="G640" s="8" t="s">
        <v>26</v>
      </c>
      <c r="H640" s="8"/>
    </row>
    <row r="641">
      <c r="A641" s="6">
        <v>46023.0</v>
      </c>
      <c r="B641" s="8" t="s">
        <v>221</v>
      </c>
      <c r="C641" s="8"/>
      <c r="D641" s="10">
        <v>5.09</v>
      </c>
      <c r="E641" s="8" t="s">
        <v>19</v>
      </c>
      <c r="F641" s="8" t="s">
        <v>20</v>
      </c>
      <c r="G641" s="16" t="s">
        <v>21</v>
      </c>
      <c r="H641" s="16" t="s">
        <v>22</v>
      </c>
    </row>
    <row r="642">
      <c r="A642" s="6">
        <v>46023.0</v>
      </c>
      <c r="B642" s="8" t="s">
        <v>284</v>
      </c>
      <c r="C642" s="8"/>
      <c r="D642" s="10">
        <v>175.08</v>
      </c>
      <c r="E642" s="8" t="s">
        <v>71</v>
      </c>
      <c r="F642" s="8" t="s">
        <v>20</v>
      </c>
      <c r="G642" s="8" t="s">
        <v>29</v>
      </c>
      <c r="H642" s="8"/>
    </row>
    <row r="643">
      <c r="A643" s="6">
        <v>46023.0</v>
      </c>
      <c r="B643" s="8" t="s">
        <v>61</v>
      </c>
      <c r="C643" s="8"/>
      <c r="D643" s="10">
        <v>25.96</v>
      </c>
      <c r="E643" s="8" t="s">
        <v>62</v>
      </c>
      <c r="F643" s="8" t="s">
        <v>20</v>
      </c>
      <c r="G643" s="8" t="s">
        <v>26</v>
      </c>
      <c r="H643" s="8"/>
    </row>
    <row r="644">
      <c r="A644" s="6">
        <v>46023.0</v>
      </c>
      <c r="B644" s="8" t="s">
        <v>40</v>
      </c>
      <c r="C644" s="67" t="s">
        <v>429</v>
      </c>
      <c r="D644" s="10">
        <v>20.0</v>
      </c>
      <c r="E644" s="8" t="s">
        <v>208</v>
      </c>
      <c r="F644" s="16" t="s">
        <v>13</v>
      </c>
      <c r="G644" s="16" t="s">
        <v>26</v>
      </c>
      <c r="H644" s="16" t="s">
        <v>430</v>
      </c>
    </row>
    <row r="645">
      <c r="A645" s="130"/>
      <c r="D645" s="43"/>
      <c r="F645" s="87"/>
      <c r="G645" s="87"/>
    </row>
    <row r="646">
      <c r="A646" s="130"/>
      <c r="D646" s="43"/>
      <c r="F646" s="87"/>
      <c r="G646" s="87"/>
    </row>
    <row r="647">
      <c r="A647" s="130"/>
      <c r="D647" s="43"/>
      <c r="F647" s="87"/>
      <c r="G647" s="87"/>
    </row>
    <row r="648">
      <c r="A648" s="130"/>
      <c r="D648" s="43"/>
      <c r="F648" s="87"/>
      <c r="G648" s="87"/>
    </row>
    <row r="649">
      <c r="A649" s="130"/>
      <c r="D649" s="43"/>
      <c r="F649" s="87"/>
      <c r="G649" s="87"/>
    </row>
    <row r="650">
      <c r="A650" s="130"/>
      <c r="D650" s="43"/>
      <c r="F650" s="87"/>
      <c r="G650" s="87"/>
    </row>
    <row r="651">
      <c r="A651" s="130"/>
      <c r="D651" s="43"/>
      <c r="F651" s="87"/>
      <c r="G651" s="87"/>
    </row>
    <row r="652">
      <c r="A652" s="130"/>
      <c r="D652" s="43"/>
      <c r="F652" s="87"/>
      <c r="G652" s="87"/>
    </row>
    <row r="653">
      <c r="A653" s="130"/>
      <c r="D653" s="43"/>
      <c r="F653" s="87"/>
      <c r="G653" s="87"/>
    </row>
    <row r="654">
      <c r="A654" s="130"/>
      <c r="D654" s="43"/>
      <c r="F654" s="87"/>
      <c r="G654" s="87"/>
    </row>
    <row r="655">
      <c r="A655" s="130"/>
      <c r="D655" s="43"/>
      <c r="F655" s="87"/>
      <c r="G655" s="87"/>
    </row>
    <row r="656">
      <c r="A656" s="130"/>
      <c r="D656" s="43"/>
      <c r="F656" s="87"/>
      <c r="G656" s="87"/>
    </row>
    <row r="657">
      <c r="A657" s="130"/>
      <c r="D657" s="43"/>
      <c r="F657" s="87"/>
      <c r="G657" s="87"/>
    </row>
    <row r="658">
      <c r="A658" s="130"/>
      <c r="D658" s="43"/>
      <c r="F658" s="87"/>
      <c r="G658" s="87"/>
    </row>
    <row r="659">
      <c r="A659" s="130"/>
      <c r="D659" s="43"/>
      <c r="F659" s="87"/>
      <c r="G659" s="87"/>
    </row>
    <row r="660">
      <c r="A660" s="130"/>
      <c r="D660" s="43"/>
      <c r="F660" s="87"/>
      <c r="G660" s="87"/>
    </row>
    <row r="661">
      <c r="A661" s="130"/>
      <c r="D661" s="43"/>
      <c r="F661" s="87"/>
      <c r="G661" s="87"/>
    </row>
    <row r="662">
      <c r="A662" s="130"/>
      <c r="D662" s="43"/>
      <c r="F662" s="87"/>
      <c r="G662" s="87"/>
    </row>
    <row r="663">
      <c r="A663" s="130"/>
      <c r="D663" s="43"/>
      <c r="F663" s="87"/>
      <c r="G663" s="87"/>
    </row>
    <row r="664">
      <c r="A664" s="130"/>
      <c r="D664" s="43"/>
      <c r="F664" s="87"/>
      <c r="G664" s="87"/>
    </row>
    <row r="665">
      <c r="A665" s="130"/>
      <c r="D665" s="43"/>
      <c r="F665" s="87"/>
      <c r="G665" s="87"/>
    </row>
    <row r="666">
      <c r="A666" s="130"/>
      <c r="D666" s="43"/>
      <c r="F666" s="87"/>
      <c r="G666" s="87"/>
    </row>
    <row r="667">
      <c r="A667" s="130"/>
      <c r="D667" s="43"/>
      <c r="F667" s="87"/>
      <c r="G667" s="87"/>
    </row>
    <row r="668">
      <c r="A668" s="130"/>
      <c r="D668" s="43"/>
      <c r="F668" s="87"/>
      <c r="G668" s="87"/>
    </row>
    <row r="669">
      <c r="A669" s="130"/>
      <c r="D669" s="43"/>
      <c r="F669" s="87"/>
      <c r="G669" s="87"/>
    </row>
    <row r="670">
      <c r="A670" s="130"/>
      <c r="D670" s="43"/>
      <c r="F670" s="87"/>
      <c r="G670" s="87"/>
    </row>
    <row r="671">
      <c r="A671" s="130"/>
      <c r="D671" s="43"/>
      <c r="F671" s="87"/>
      <c r="G671" s="87"/>
    </row>
    <row r="672">
      <c r="A672" s="130"/>
      <c r="D672" s="43"/>
      <c r="F672" s="87"/>
      <c r="G672" s="87"/>
    </row>
    <row r="673">
      <c r="A673" s="130"/>
      <c r="D673" s="43"/>
      <c r="F673" s="87"/>
      <c r="G673" s="87"/>
    </row>
    <row r="674">
      <c r="A674" s="130"/>
      <c r="D674" s="43"/>
      <c r="F674" s="87"/>
      <c r="G674" s="87"/>
    </row>
    <row r="675">
      <c r="A675" s="130"/>
      <c r="D675" s="43"/>
      <c r="F675" s="87"/>
      <c r="G675" s="87"/>
    </row>
    <row r="676">
      <c r="A676" s="130"/>
      <c r="D676" s="43"/>
      <c r="F676" s="87"/>
      <c r="G676" s="87"/>
    </row>
    <row r="677">
      <c r="A677" s="130"/>
      <c r="D677" s="43"/>
      <c r="F677" s="87"/>
      <c r="G677" s="87"/>
    </row>
    <row r="678">
      <c r="A678" s="130"/>
      <c r="D678" s="43"/>
      <c r="F678" s="87"/>
      <c r="G678" s="87"/>
    </row>
    <row r="679">
      <c r="A679" s="130"/>
      <c r="D679" s="43"/>
      <c r="F679" s="87"/>
      <c r="G679" s="87"/>
    </row>
    <row r="680">
      <c r="A680" s="130"/>
      <c r="D680" s="43"/>
      <c r="F680" s="87"/>
      <c r="G680" s="87"/>
    </row>
    <row r="681">
      <c r="A681" s="130"/>
      <c r="D681" s="43"/>
      <c r="F681" s="87"/>
      <c r="G681" s="87"/>
    </row>
    <row r="682">
      <c r="A682" s="130"/>
      <c r="D682" s="43"/>
      <c r="F682" s="87"/>
      <c r="G682" s="87"/>
    </row>
    <row r="683">
      <c r="A683" s="130"/>
      <c r="D683" s="43"/>
      <c r="F683" s="87"/>
      <c r="G683" s="87"/>
    </row>
    <row r="684">
      <c r="A684" s="130"/>
      <c r="D684" s="43"/>
      <c r="F684" s="87"/>
      <c r="G684" s="87"/>
    </row>
    <row r="685">
      <c r="A685" s="130"/>
      <c r="D685" s="43"/>
      <c r="F685" s="87"/>
      <c r="G685" s="87"/>
    </row>
    <row r="686">
      <c r="A686" s="130"/>
      <c r="D686" s="43"/>
      <c r="F686" s="87"/>
      <c r="G686" s="87"/>
    </row>
    <row r="687">
      <c r="A687" s="130"/>
      <c r="D687" s="43"/>
      <c r="F687" s="87"/>
      <c r="G687" s="87"/>
    </row>
    <row r="688">
      <c r="A688" s="130"/>
      <c r="D688" s="43"/>
      <c r="F688" s="87"/>
      <c r="G688" s="87"/>
    </row>
    <row r="689">
      <c r="A689" s="130"/>
      <c r="D689" s="43"/>
      <c r="F689" s="87"/>
      <c r="G689" s="87"/>
    </row>
    <row r="690">
      <c r="A690" s="130"/>
      <c r="D690" s="43"/>
      <c r="F690" s="87"/>
      <c r="G690" s="87"/>
    </row>
    <row r="691">
      <c r="A691" s="130"/>
      <c r="D691" s="43"/>
      <c r="F691" s="87"/>
      <c r="G691" s="87"/>
    </row>
    <row r="692">
      <c r="A692" s="130"/>
      <c r="D692" s="43"/>
      <c r="F692" s="87"/>
      <c r="G692" s="87"/>
    </row>
    <row r="693">
      <c r="A693" s="130"/>
      <c r="D693" s="43"/>
      <c r="F693" s="87"/>
      <c r="G693" s="87"/>
    </row>
    <row r="694">
      <c r="A694" s="130"/>
      <c r="D694" s="43"/>
      <c r="F694" s="87"/>
      <c r="G694" s="87"/>
    </row>
    <row r="695">
      <c r="A695" s="130"/>
      <c r="D695" s="43"/>
      <c r="F695" s="87"/>
      <c r="G695" s="87"/>
    </row>
    <row r="696">
      <c r="A696" s="130"/>
      <c r="D696" s="43"/>
      <c r="F696" s="87"/>
      <c r="G696" s="87"/>
    </row>
    <row r="697">
      <c r="A697" s="130"/>
      <c r="D697" s="43"/>
      <c r="F697" s="87"/>
      <c r="G697" s="87"/>
    </row>
    <row r="698">
      <c r="A698" s="130"/>
      <c r="D698" s="43"/>
      <c r="F698" s="87"/>
      <c r="G698" s="87"/>
    </row>
    <row r="699">
      <c r="A699" s="130"/>
      <c r="D699" s="43"/>
      <c r="F699" s="87"/>
      <c r="G699" s="87"/>
    </row>
    <row r="700">
      <c r="A700" s="130"/>
      <c r="D700" s="43"/>
      <c r="F700" s="87"/>
      <c r="G700" s="87"/>
    </row>
    <row r="701">
      <c r="A701" s="130"/>
      <c r="D701" s="43"/>
      <c r="F701" s="87"/>
      <c r="G701" s="87"/>
    </row>
    <row r="702">
      <c r="A702" s="130"/>
      <c r="D702" s="43"/>
      <c r="F702" s="87"/>
      <c r="G702" s="87"/>
    </row>
    <row r="703">
      <c r="A703" s="130"/>
      <c r="D703" s="43"/>
      <c r="F703" s="87"/>
      <c r="G703" s="87"/>
    </row>
    <row r="704">
      <c r="A704" s="130"/>
      <c r="D704" s="43"/>
      <c r="F704" s="87"/>
      <c r="G704" s="87"/>
    </row>
    <row r="705">
      <c r="A705" s="130"/>
      <c r="D705" s="43"/>
      <c r="F705" s="87"/>
      <c r="G705" s="87"/>
    </row>
    <row r="706">
      <c r="A706" s="130"/>
      <c r="D706" s="43"/>
      <c r="F706" s="87"/>
      <c r="G706" s="87"/>
    </row>
    <row r="707">
      <c r="A707" s="130"/>
      <c r="D707" s="43"/>
      <c r="F707" s="87"/>
      <c r="G707" s="87"/>
    </row>
    <row r="708">
      <c r="A708" s="130"/>
      <c r="D708" s="43"/>
      <c r="F708" s="87"/>
      <c r="G708" s="87"/>
    </row>
    <row r="709">
      <c r="A709" s="130"/>
      <c r="D709" s="43"/>
      <c r="F709" s="87"/>
      <c r="G709" s="87"/>
    </row>
    <row r="710">
      <c r="A710" s="130"/>
      <c r="D710" s="43"/>
      <c r="F710" s="87"/>
      <c r="G710" s="87"/>
    </row>
    <row r="711">
      <c r="A711" s="130"/>
      <c r="D711" s="43"/>
      <c r="F711" s="87"/>
      <c r="G711" s="87"/>
    </row>
    <row r="712">
      <c r="A712" s="130"/>
      <c r="D712" s="43"/>
      <c r="F712" s="87"/>
      <c r="G712" s="87"/>
    </row>
    <row r="713">
      <c r="A713" s="130"/>
      <c r="D713" s="43"/>
      <c r="F713" s="87"/>
      <c r="G713" s="87"/>
    </row>
    <row r="714">
      <c r="A714" s="130"/>
      <c r="D714" s="43"/>
      <c r="F714" s="87"/>
      <c r="G714" s="87"/>
    </row>
    <row r="715">
      <c r="A715" s="130"/>
      <c r="D715" s="43"/>
      <c r="F715" s="87"/>
      <c r="G715" s="87"/>
    </row>
    <row r="716">
      <c r="A716" s="130"/>
      <c r="D716" s="43"/>
      <c r="F716" s="87"/>
      <c r="G716" s="87"/>
    </row>
    <row r="717">
      <c r="A717" s="130"/>
      <c r="D717" s="43"/>
      <c r="F717" s="87"/>
      <c r="G717" s="87"/>
    </row>
    <row r="718">
      <c r="A718" s="130"/>
      <c r="D718" s="43"/>
      <c r="F718" s="87"/>
      <c r="G718" s="87"/>
    </row>
    <row r="719">
      <c r="A719" s="130"/>
      <c r="D719" s="43"/>
      <c r="F719" s="87"/>
      <c r="G719" s="87"/>
    </row>
    <row r="720">
      <c r="A720" s="130"/>
      <c r="D720" s="43"/>
      <c r="F720" s="87"/>
      <c r="G720" s="87"/>
    </row>
    <row r="721">
      <c r="A721" s="130"/>
      <c r="D721" s="43"/>
      <c r="F721" s="87"/>
      <c r="G721" s="87"/>
    </row>
    <row r="722">
      <c r="A722" s="130"/>
      <c r="D722" s="43"/>
      <c r="F722" s="87"/>
      <c r="G722" s="87"/>
    </row>
    <row r="723">
      <c r="A723" s="130"/>
      <c r="D723" s="43"/>
      <c r="F723" s="87"/>
      <c r="G723" s="87"/>
    </row>
    <row r="724">
      <c r="A724" s="130"/>
      <c r="D724" s="43"/>
      <c r="F724" s="87"/>
      <c r="G724" s="87"/>
    </row>
    <row r="725">
      <c r="A725" s="130"/>
      <c r="D725" s="43"/>
      <c r="F725" s="87"/>
      <c r="G725" s="87"/>
    </row>
    <row r="726">
      <c r="A726" s="130"/>
      <c r="D726" s="43"/>
      <c r="F726" s="87"/>
      <c r="G726" s="87"/>
    </row>
    <row r="727">
      <c r="A727" s="130"/>
      <c r="D727" s="43"/>
      <c r="F727" s="87"/>
      <c r="G727" s="87"/>
    </row>
    <row r="728">
      <c r="A728" s="130"/>
      <c r="D728" s="43"/>
      <c r="F728" s="87"/>
      <c r="G728" s="87"/>
    </row>
    <row r="729">
      <c r="A729" s="130"/>
      <c r="D729" s="43"/>
      <c r="F729" s="87"/>
      <c r="G729" s="87"/>
    </row>
    <row r="730">
      <c r="A730" s="130"/>
      <c r="D730" s="43"/>
      <c r="F730" s="87"/>
      <c r="G730" s="87"/>
    </row>
    <row r="731">
      <c r="A731" s="130"/>
      <c r="D731" s="43"/>
      <c r="F731" s="87"/>
      <c r="G731" s="87"/>
    </row>
    <row r="732">
      <c r="A732" s="130"/>
      <c r="D732" s="43"/>
      <c r="F732" s="87"/>
      <c r="G732" s="87"/>
    </row>
    <row r="733">
      <c r="A733" s="130"/>
      <c r="D733" s="43"/>
      <c r="F733" s="87"/>
      <c r="G733" s="87"/>
    </row>
    <row r="734">
      <c r="A734" s="130"/>
      <c r="D734" s="43"/>
      <c r="F734" s="87"/>
      <c r="G734" s="87"/>
    </row>
    <row r="735">
      <c r="A735" s="130"/>
      <c r="D735" s="43"/>
      <c r="F735" s="87"/>
      <c r="G735" s="87"/>
    </row>
    <row r="736">
      <c r="A736" s="130"/>
      <c r="D736" s="43"/>
      <c r="F736" s="87"/>
      <c r="G736" s="87"/>
    </row>
    <row r="737">
      <c r="A737" s="130"/>
      <c r="D737" s="43"/>
      <c r="F737" s="87"/>
      <c r="G737" s="87"/>
    </row>
    <row r="738">
      <c r="A738" s="130"/>
      <c r="D738" s="43"/>
      <c r="F738" s="87"/>
      <c r="G738" s="87"/>
    </row>
    <row r="739">
      <c r="A739" s="130"/>
      <c r="D739" s="43"/>
      <c r="F739" s="87"/>
      <c r="G739" s="87"/>
    </row>
    <row r="740">
      <c r="A740" s="130"/>
      <c r="D740" s="43"/>
      <c r="F740" s="87"/>
      <c r="G740" s="87"/>
    </row>
    <row r="741">
      <c r="A741" s="130"/>
      <c r="D741" s="43"/>
      <c r="F741" s="87"/>
      <c r="G741" s="87"/>
    </row>
    <row r="742">
      <c r="A742" s="130"/>
      <c r="D742" s="43"/>
      <c r="F742" s="87"/>
      <c r="G742" s="87"/>
    </row>
    <row r="743">
      <c r="A743" s="130"/>
      <c r="D743" s="43"/>
      <c r="F743" s="87"/>
      <c r="G743" s="87"/>
    </row>
    <row r="744">
      <c r="A744" s="130"/>
      <c r="D744" s="43"/>
      <c r="F744" s="87"/>
      <c r="G744" s="87"/>
    </row>
    <row r="745">
      <c r="A745" s="130"/>
      <c r="D745" s="43"/>
      <c r="F745" s="87"/>
      <c r="G745" s="87"/>
    </row>
    <row r="746">
      <c r="A746" s="130"/>
      <c r="D746" s="43"/>
      <c r="F746" s="87"/>
      <c r="G746" s="87"/>
    </row>
    <row r="747">
      <c r="A747" s="130"/>
      <c r="D747" s="43"/>
      <c r="F747" s="87"/>
      <c r="G747" s="87"/>
    </row>
    <row r="748">
      <c r="A748" s="130"/>
      <c r="D748" s="43"/>
      <c r="F748" s="87"/>
      <c r="G748" s="87"/>
    </row>
    <row r="749">
      <c r="A749" s="130"/>
      <c r="D749" s="43"/>
      <c r="F749" s="87"/>
      <c r="G749" s="87"/>
    </row>
    <row r="750">
      <c r="A750" s="130"/>
      <c r="D750" s="43"/>
      <c r="F750" s="87"/>
      <c r="G750" s="87"/>
    </row>
    <row r="751">
      <c r="A751" s="130"/>
      <c r="D751" s="43"/>
      <c r="F751" s="87"/>
      <c r="G751" s="87"/>
    </row>
    <row r="752">
      <c r="A752" s="130"/>
      <c r="D752" s="43"/>
      <c r="F752" s="87"/>
      <c r="G752" s="87"/>
    </row>
    <row r="753">
      <c r="A753" s="130"/>
      <c r="D753" s="43"/>
      <c r="F753" s="87"/>
      <c r="G753" s="87"/>
    </row>
    <row r="754">
      <c r="A754" s="130"/>
      <c r="D754" s="43"/>
      <c r="F754" s="87"/>
      <c r="G754" s="87"/>
    </row>
    <row r="755">
      <c r="A755" s="130"/>
      <c r="D755" s="43"/>
      <c r="F755" s="87"/>
      <c r="G755" s="87"/>
    </row>
    <row r="756">
      <c r="A756" s="130"/>
      <c r="D756" s="43"/>
      <c r="F756" s="87"/>
      <c r="G756" s="87"/>
    </row>
    <row r="757">
      <c r="A757" s="130"/>
      <c r="D757" s="43"/>
      <c r="F757" s="87"/>
      <c r="G757" s="87"/>
    </row>
    <row r="758">
      <c r="A758" s="130"/>
      <c r="D758" s="43"/>
      <c r="F758" s="87"/>
      <c r="G758" s="87"/>
    </row>
    <row r="759">
      <c r="A759" s="130"/>
      <c r="D759" s="43"/>
      <c r="F759" s="87"/>
      <c r="G759" s="87"/>
    </row>
    <row r="760">
      <c r="A760" s="130"/>
      <c r="D760" s="43"/>
      <c r="F760" s="87"/>
      <c r="G760" s="87"/>
    </row>
    <row r="761">
      <c r="A761" s="130"/>
      <c r="D761" s="43"/>
      <c r="F761" s="87"/>
      <c r="G761" s="87"/>
    </row>
    <row r="762">
      <c r="A762" s="130"/>
      <c r="D762" s="43"/>
      <c r="F762" s="87"/>
      <c r="G762" s="87"/>
    </row>
    <row r="763">
      <c r="A763" s="130"/>
      <c r="D763" s="43"/>
      <c r="F763" s="87"/>
      <c r="G763" s="87"/>
    </row>
    <row r="764">
      <c r="A764" s="130"/>
      <c r="D764" s="43"/>
      <c r="F764" s="87"/>
      <c r="G764" s="87"/>
    </row>
    <row r="765">
      <c r="A765" s="130"/>
      <c r="D765" s="43"/>
      <c r="F765" s="87"/>
      <c r="G765" s="87"/>
    </row>
    <row r="766">
      <c r="A766" s="130"/>
      <c r="D766" s="43"/>
      <c r="F766" s="87"/>
      <c r="G766" s="87"/>
    </row>
    <row r="767">
      <c r="A767" s="130"/>
      <c r="D767" s="43"/>
      <c r="F767" s="87"/>
      <c r="G767" s="87"/>
    </row>
    <row r="768">
      <c r="A768" s="130"/>
      <c r="D768" s="43"/>
      <c r="F768" s="87"/>
      <c r="G768" s="87"/>
    </row>
    <row r="769">
      <c r="A769" s="130"/>
      <c r="D769" s="43"/>
      <c r="F769" s="87"/>
      <c r="G769" s="87"/>
    </row>
    <row r="770">
      <c r="A770" s="130"/>
      <c r="D770" s="43"/>
      <c r="F770" s="87"/>
      <c r="G770" s="87"/>
    </row>
    <row r="771">
      <c r="A771" s="130"/>
      <c r="D771" s="43"/>
      <c r="F771" s="87"/>
      <c r="G771" s="87"/>
    </row>
    <row r="772">
      <c r="A772" s="130"/>
      <c r="D772" s="43"/>
      <c r="F772" s="87"/>
      <c r="G772" s="87"/>
    </row>
    <row r="773">
      <c r="A773" s="130"/>
      <c r="D773" s="43"/>
      <c r="F773" s="87"/>
      <c r="G773" s="87"/>
    </row>
    <row r="774">
      <c r="A774" s="130"/>
      <c r="D774" s="43"/>
      <c r="F774" s="87"/>
      <c r="G774" s="87"/>
    </row>
    <row r="775">
      <c r="A775" s="130"/>
      <c r="D775" s="43"/>
      <c r="F775" s="87"/>
      <c r="G775" s="87"/>
    </row>
    <row r="776">
      <c r="A776" s="130"/>
      <c r="D776" s="43"/>
      <c r="F776" s="87"/>
      <c r="G776" s="87"/>
    </row>
    <row r="777">
      <c r="A777" s="130"/>
      <c r="D777" s="43"/>
      <c r="F777" s="87"/>
      <c r="G777" s="87"/>
    </row>
    <row r="778">
      <c r="A778" s="130"/>
      <c r="D778" s="43"/>
      <c r="F778" s="87"/>
      <c r="G778" s="87"/>
    </row>
    <row r="779">
      <c r="A779" s="130"/>
      <c r="D779" s="43"/>
      <c r="F779" s="87"/>
      <c r="G779" s="87"/>
    </row>
    <row r="780">
      <c r="A780" s="130"/>
      <c r="D780" s="43"/>
      <c r="F780" s="87"/>
      <c r="G780" s="87"/>
    </row>
    <row r="781">
      <c r="A781" s="130"/>
      <c r="D781" s="43"/>
      <c r="F781" s="87"/>
      <c r="G781" s="87"/>
    </row>
    <row r="782">
      <c r="A782" s="130"/>
      <c r="D782" s="43"/>
      <c r="F782" s="87"/>
      <c r="G782" s="87"/>
    </row>
    <row r="783">
      <c r="A783" s="130"/>
      <c r="D783" s="43"/>
      <c r="F783" s="87"/>
      <c r="G783" s="87"/>
    </row>
    <row r="784">
      <c r="A784" s="130"/>
      <c r="D784" s="43"/>
      <c r="F784" s="87"/>
      <c r="G784" s="87"/>
    </row>
    <row r="785">
      <c r="A785" s="130"/>
      <c r="D785" s="43"/>
      <c r="F785" s="87"/>
      <c r="G785" s="87"/>
    </row>
    <row r="786">
      <c r="A786" s="130"/>
      <c r="D786" s="43"/>
      <c r="F786" s="87"/>
      <c r="G786" s="87"/>
    </row>
    <row r="787">
      <c r="A787" s="130"/>
      <c r="D787" s="43"/>
      <c r="F787" s="87"/>
      <c r="G787" s="87"/>
    </row>
    <row r="788">
      <c r="A788" s="130"/>
      <c r="D788" s="43"/>
      <c r="F788" s="87"/>
      <c r="G788" s="87"/>
    </row>
    <row r="789">
      <c r="A789" s="130"/>
      <c r="D789" s="43"/>
      <c r="F789" s="87"/>
      <c r="G789" s="87"/>
    </row>
    <row r="790">
      <c r="A790" s="130"/>
      <c r="D790" s="43"/>
      <c r="F790" s="87"/>
      <c r="G790" s="87"/>
    </row>
    <row r="791">
      <c r="A791" s="130"/>
      <c r="D791" s="43"/>
      <c r="F791" s="87"/>
      <c r="G791" s="87"/>
    </row>
    <row r="792">
      <c r="A792" s="130"/>
      <c r="D792" s="43"/>
      <c r="F792" s="87"/>
      <c r="G792" s="87"/>
    </row>
    <row r="793">
      <c r="A793" s="130"/>
      <c r="D793" s="43"/>
      <c r="F793" s="87"/>
      <c r="G793" s="87"/>
    </row>
    <row r="794">
      <c r="A794" s="130"/>
      <c r="D794" s="43"/>
      <c r="F794" s="87"/>
      <c r="G794" s="87"/>
    </row>
    <row r="795">
      <c r="A795" s="130"/>
      <c r="D795" s="43"/>
      <c r="F795" s="87"/>
      <c r="G795" s="87"/>
    </row>
    <row r="796">
      <c r="A796" s="130"/>
      <c r="D796" s="43"/>
      <c r="F796" s="87"/>
      <c r="G796" s="87"/>
    </row>
    <row r="797">
      <c r="A797" s="130"/>
      <c r="D797" s="43"/>
      <c r="F797" s="87"/>
      <c r="G797" s="87"/>
    </row>
    <row r="798">
      <c r="A798" s="130"/>
      <c r="D798" s="43"/>
      <c r="F798" s="87"/>
      <c r="G798" s="87"/>
    </row>
    <row r="799">
      <c r="A799" s="130"/>
      <c r="D799" s="43"/>
      <c r="F799" s="87"/>
      <c r="G799" s="87"/>
    </row>
    <row r="800">
      <c r="A800" s="130"/>
      <c r="D800" s="43"/>
      <c r="F800" s="87"/>
      <c r="G800" s="87"/>
    </row>
    <row r="801">
      <c r="A801" s="130"/>
      <c r="D801" s="43"/>
      <c r="F801" s="87"/>
      <c r="G801" s="87"/>
    </row>
    <row r="802">
      <c r="A802" s="130"/>
      <c r="D802" s="43"/>
      <c r="F802" s="87"/>
      <c r="G802" s="87"/>
    </row>
    <row r="803">
      <c r="A803" s="130"/>
      <c r="D803" s="43"/>
      <c r="F803" s="87"/>
      <c r="G803" s="87"/>
    </row>
    <row r="804">
      <c r="A804" s="130"/>
      <c r="D804" s="43"/>
      <c r="F804" s="87"/>
      <c r="G804" s="87"/>
    </row>
    <row r="805">
      <c r="A805" s="130"/>
      <c r="D805" s="43"/>
      <c r="F805" s="87"/>
      <c r="G805" s="87"/>
    </row>
    <row r="806">
      <c r="A806" s="130"/>
      <c r="D806" s="43"/>
      <c r="F806" s="87"/>
      <c r="G806" s="87"/>
    </row>
    <row r="807">
      <c r="A807" s="130"/>
      <c r="D807" s="43"/>
      <c r="F807" s="87"/>
      <c r="G807" s="87"/>
    </row>
    <row r="808">
      <c r="A808" s="130"/>
      <c r="D808" s="43"/>
      <c r="F808" s="87"/>
      <c r="G808" s="87"/>
    </row>
    <row r="809">
      <c r="A809" s="130"/>
      <c r="D809" s="43"/>
      <c r="F809" s="87"/>
      <c r="G809" s="87"/>
    </row>
    <row r="810">
      <c r="A810" s="130"/>
      <c r="D810" s="43"/>
      <c r="F810" s="87"/>
      <c r="G810" s="87"/>
    </row>
    <row r="811">
      <c r="A811" s="130"/>
      <c r="D811" s="43"/>
      <c r="F811" s="87"/>
      <c r="G811" s="87"/>
    </row>
    <row r="812">
      <c r="A812" s="130"/>
      <c r="D812" s="43"/>
      <c r="F812" s="87"/>
      <c r="G812" s="87"/>
    </row>
    <row r="813">
      <c r="A813" s="130"/>
      <c r="D813" s="43"/>
      <c r="F813" s="87"/>
      <c r="G813" s="87"/>
    </row>
    <row r="814">
      <c r="A814" s="130"/>
      <c r="D814" s="43"/>
      <c r="F814" s="87"/>
      <c r="G814" s="87"/>
    </row>
    <row r="815">
      <c r="A815" s="130"/>
      <c r="D815" s="43"/>
      <c r="F815" s="87"/>
      <c r="G815" s="87"/>
    </row>
    <row r="816">
      <c r="A816" s="130"/>
      <c r="D816" s="43"/>
      <c r="F816" s="87"/>
      <c r="G816" s="87"/>
    </row>
    <row r="817">
      <c r="A817" s="130"/>
      <c r="D817" s="43"/>
      <c r="F817" s="87"/>
      <c r="G817" s="87"/>
    </row>
    <row r="818">
      <c r="A818" s="130"/>
      <c r="D818" s="43"/>
      <c r="F818" s="87"/>
      <c r="G818" s="87"/>
    </row>
    <row r="819">
      <c r="A819" s="130"/>
      <c r="D819" s="43"/>
      <c r="F819" s="87"/>
      <c r="G819" s="87"/>
    </row>
    <row r="820">
      <c r="A820" s="130"/>
      <c r="D820" s="43"/>
      <c r="F820" s="87"/>
      <c r="G820" s="87"/>
    </row>
    <row r="821">
      <c r="A821" s="130"/>
      <c r="D821" s="43"/>
      <c r="F821" s="87"/>
      <c r="G821" s="87"/>
    </row>
    <row r="822">
      <c r="A822" s="130"/>
      <c r="D822" s="43"/>
      <c r="F822" s="87"/>
      <c r="G822" s="87"/>
    </row>
    <row r="823">
      <c r="A823" s="130"/>
      <c r="D823" s="43"/>
      <c r="F823" s="87"/>
      <c r="G823" s="87"/>
    </row>
    <row r="824">
      <c r="A824" s="130"/>
      <c r="D824" s="43"/>
      <c r="F824" s="87"/>
      <c r="G824" s="87"/>
    </row>
    <row r="825">
      <c r="A825" s="130"/>
      <c r="D825" s="43"/>
      <c r="F825" s="87"/>
      <c r="G825" s="87"/>
    </row>
    <row r="826">
      <c r="A826" s="130"/>
      <c r="D826" s="43"/>
      <c r="F826" s="87"/>
      <c r="G826" s="87"/>
    </row>
    <row r="827">
      <c r="A827" s="130"/>
      <c r="D827" s="43"/>
      <c r="F827" s="87"/>
      <c r="G827" s="87"/>
    </row>
    <row r="828">
      <c r="A828" s="130"/>
      <c r="D828" s="43"/>
      <c r="F828" s="87"/>
      <c r="G828" s="87"/>
    </row>
    <row r="829">
      <c r="A829" s="130"/>
      <c r="D829" s="43"/>
      <c r="F829" s="87"/>
      <c r="G829" s="87"/>
    </row>
    <row r="830">
      <c r="A830" s="130"/>
      <c r="D830" s="43"/>
      <c r="F830" s="87"/>
      <c r="G830" s="87"/>
    </row>
    <row r="831">
      <c r="A831" s="130"/>
      <c r="D831" s="43"/>
      <c r="F831" s="87"/>
      <c r="G831" s="87"/>
    </row>
    <row r="832">
      <c r="A832" s="130"/>
      <c r="D832" s="43"/>
      <c r="F832" s="87"/>
      <c r="G832" s="87"/>
    </row>
    <row r="833">
      <c r="A833" s="130"/>
      <c r="D833" s="43"/>
      <c r="F833" s="87"/>
      <c r="G833" s="87"/>
    </row>
    <row r="834">
      <c r="A834" s="130"/>
      <c r="D834" s="43"/>
      <c r="F834" s="87"/>
      <c r="G834" s="87"/>
    </row>
    <row r="835">
      <c r="A835" s="130"/>
      <c r="D835" s="43"/>
      <c r="F835" s="87"/>
      <c r="G835" s="87"/>
    </row>
    <row r="836">
      <c r="A836" s="130"/>
      <c r="D836" s="43"/>
      <c r="F836" s="87"/>
      <c r="G836" s="87"/>
    </row>
    <row r="837">
      <c r="A837" s="130"/>
      <c r="D837" s="43"/>
      <c r="F837" s="87"/>
      <c r="G837" s="87"/>
    </row>
    <row r="838">
      <c r="A838" s="130"/>
      <c r="D838" s="43"/>
      <c r="F838" s="87"/>
      <c r="G838" s="87"/>
    </row>
    <row r="839">
      <c r="A839" s="130"/>
      <c r="D839" s="43"/>
      <c r="F839" s="87"/>
      <c r="G839" s="87"/>
    </row>
    <row r="840">
      <c r="A840" s="130"/>
      <c r="D840" s="43"/>
      <c r="F840" s="87"/>
      <c r="G840" s="87"/>
    </row>
    <row r="841">
      <c r="A841" s="130"/>
      <c r="D841" s="43"/>
      <c r="F841" s="87"/>
      <c r="G841" s="87"/>
    </row>
    <row r="842">
      <c r="A842" s="130"/>
      <c r="D842" s="43"/>
      <c r="F842" s="87"/>
      <c r="G842" s="87"/>
    </row>
    <row r="843">
      <c r="A843" s="130"/>
      <c r="D843" s="43"/>
      <c r="F843" s="87"/>
      <c r="G843" s="87"/>
    </row>
    <row r="844">
      <c r="A844" s="130"/>
      <c r="D844" s="43"/>
      <c r="F844" s="87"/>
      <c r="G844" s="87"/>
    </row>
    <row r="845">
      <c r="A845" s="130"/>
      <c r="D845" s="43"/>
      <c r="F845" s="87"/>
      <c r="G845" s="87"/>
    </row>
    <row r="846">
      <c r="A846" s="130"/>
      <c r="D846" s="43"/>
      <c r="F846" s="87"/>
      <c r="G846" s="87"/>
    </row>
    <row r="847">
      <c r="A847" s="130"/>
      <c r="D847" s="43"/>
      <c r="F847" s="87"/>
      <c r="G847" s="87"/>
    </row>
    <row r="848">
      <c r="A848" s="130"/>
      <c r="D848" s="43"/>
      <c r="F848" s="87"/>
      <c r="G848" s="87"/>
    </row>
    <row r="849">
      <c r="A849" s="130"/>
      <c r="D849" s="43"/>
      <c r="F849" s="87"/>
      <c r="G849" s="87"/>
    </row>
    <row r="850">
      <c r="A850" s="130"/>
      <c r="D850" s="43"/>
      <c r="F850" s="87"/>
      <c r="G850" s="87"/>
    </row>
    <row r="851">
      <c r="A851" s="130"/>
      <c r="D851" s="43"/>
      <c r="F851" s="87"/>
      <c r="G851" s="87"/>
    </row>
    <row r="852">
      <c r="A852" s="130"/>
      <c r="D852" s="43"/>
      <c r="F852" s="87"/>
      <c r="G852" s="87"/>
    </row>
    <row r="853">
      <c r="A853" s="130"/>
      <c r="D853" s="43"/>
      <c r="F853" s="87"/>
      <c r="G853" s="87"/>
    </row>
    <row r="854">
      <c r="A854" s="130"/>
      <c r="D854" s="43"/>
      <c r="F854" s="87"/>
      <c r="G854" s="87"/>
    </row>
    <row r="855">
      <c r="A855" s="130"/>
      <c r="D855" s="43"/>
      <c r="F855" s="87"/>
      <c r="G855" s="87"/>
    </row>
    <row r="856">
      <c r="A856" s="130"/>
      <c r="D856" s="43"/>
      <c r="F856" s="87"/>
      <c r="G856" s="87"/>
    </row>
    <row r="857">
      <c r="A857" s="130"/>
      <c r="D857" s="43"/>
      <c r="F857" s="87"/>
      <c r="G857" s="87"/>
    </row>
    <row r="858">
      <c r="A858" s="130"/>
      <c r="D858" s="43"/>
      <c r="F858" s="87"/>
      <c r="G858" s="87"/>
    </row>
    <row r="859">
      <c r="A859" s="130"/>
      <c r="D859" s="43"/>
      <c r="F859" s="87"/>
      <c r="G859" s="87"/>
    </row>
    <row r="860">
      <c r="A860" s="130"/>
      <c r="D860" s="43"/>
      <c r="F860" s="87"/>
      <c r="G860" s="87"/>
    </row>
    <row r="861">
      <c r="A861" s="130"/>
      <c r="D861" s="43"/>
      <c r="F861" s="87"/>
      <c r="G861" s="87"/>
    </row>
    <row r="862">
      <c r="A862" s="130"/>
      <c r="D862" s="43"/>
      <c r="F862" s="87"/>
      <c r="G862" s="87"/>
    </row>
    <row r="863">
      <c r="A863" s="130"/>
      <c r="D863" s="43"/>
      <c r="F863" s="87"/>
      <c r="G863" s="87"/>
    </row>
    <row r="864">
      <c r="A864" s="130"/>
      <c r="D864" s="43"/>
      <c r="F864" s="87"/>
      <c r="G864" s="87"/>
    </row>
    <row r="865">
      <c r="A865" s="130"/>
      <c r="D865" s="43"/>
      <c r="F865" s="87"/>
      <c r="G865" s="87"/>
    </row>
    <row r="866">
      <c r="A866" s="130"/>
      <c r="D866" s="43"/>
      <c r="F866" s="87"/>
      <c r="G866" s="87"/>
    </row>
    <row r="867">
      <c r="A867" s="130"/>
      <c r="D867" s="43"/>
      <c r="F867" s="87"/>
      <c r="G867" s="87"/>
    </row>
    <row r="868">
      <c r="A868" s="130"/>
      <c r="D868" s="43"/>
      <c r="F868" s="87"/>
      <c r="G868" s="87"/>
    </row>
    <row r="869">
      <c r="A869" s="130"/>
      <c r="D869" s="43"/>
      <c r="F869" s="87"/>
      <c r="G869" s="87"/>
    </row>
    <row r="870">
      <c r="A870" s="130"/>
      <c r="D870" s="43"/>
      <c r="F870" s="87"/>
      <c r="G870" s="87"/>
    </row>
    <row r="871">
      <c r="A871" s="130"/>
      <c r="D871" s="43"/>
      <c r="F871" s="87"/>
      <c r="G871" s="87"/>
    </row>
    <row r="872">
      <c r="A872" s="130"/>
      <c r="D872" s="43"/>
      <c r="F872" s="87"/>
      <c r="G872" s="87"/>
    </row>
    <row r="873">
      <c r="A873" s="130"/>
      <c r="D873" s="43"/>
      <c r="F873" s="87"/>
      <c r="G873" s="87"/>
    </row>
    <row r="874">
      <c r="A874" s="130"/>
      <c r="D874" s="43"/>
      <c r="F874" s="87"/>
      <c r="G874" s="87"/>
    </row>
    <row r="875">
      <c r="A875" s="130"/>
      <c r="D875" s="43"/>
      <c r="F875" s="87"/>
      <c r="G875" s="87"/>
    </row>
    <row r="876">
      <c r="A876" s="130"/>
      <c r="D876" s="43"/>
      <c r="F876" s="87"/>
      <c r="G876" s="87"/>
    </row>
    <row r="877">
      <c r="A877" s="130"/>
      <c r="D877" s="43"/>
      <c r="F877" s="87"/>
      <c r="G877" s="87"/>
    </row>
    <row r="878">
      <c r="A878" s="130"/>
      <c r="D878" s="43"/>
      <c r="F878" s="87"/>
      <c r="G878" s="87"/>
    </row>
    <row r="879">
      <c r="A879" s="130"/>
      <c r="D879" s="43"/>
      <c r="F879" s="87"/>
      <c r="G879" s="87"/>
    </row>
    <row r="880">
      <c r="A880" s="130"/>
      <c r="D880" s="43"/>
      <c r="F880" s="87"/>
      <c r="G880" s="87"/>
    </row>
    <row r="881">
      <c r="A881" s="130"/>
      <c r="D881" s="43"/>
      <c r="F881" s="87"/>
      <c r="G881" s="87"/>
    </row>
    <row r="882">
      <c r="A882" s="130"/>
      <c r="D882" s="43"/>
      <c r="F882" s="87"/>
      <c r="G882" s="87"/>
    </row>
    <row r="883">
      <c r="A883" s="130"/>
      <c r="D883" s="43"/>
      <c r="F883" s="87"/>
      <c r="G883" s="87"/>
    </row>
    <row r="884">
      <c r="A884" s="130"/>
      <c r="D884" s="43"/>
      <c r="F884" s="87"/>
      <c r="G884" s="87"/>
    </row>
    <row r="885">
      <c r="A885" s="130"/>
      <c r="D885" s="43"/>
      <c r="F885" s="87"/>
      <c r="G885" s="87"/>
    </row>
    <row r="886">
      <c r="A886" s="130"/>
      <c r="D886" s="43"/>
      <c r="F886" s="87"/>
      <c r="G886" s="87"/>
    </row>
    <row r="887">
      <c r="A887" s="130"/>
      <c r="D887" s="43"/>
      <c r="F887" s="87"/>
      <c r="G887" s="87"/>
    </row>
    <row r="888">
      <c r="A888" s="130"/>
      <c r="D888" s="43"/>
      <c r="F888" s="87"/>
      <c r="G888" s="87"/>
    </row>
    <row r="889">
      <c r="A889" s="130"/>
      <c r="D889" s="43"/>
      <c r="F889" s="87"/>
      <c r="G889" s="87"/>
    </row>
    <row r="890">
      <c r="A890" s="130"/>
      <c r="D890" s="43"/>
      <c r="F890" s="87"/>
      <c r="G890" s="87"/>
    </row>
    <row r="891">
      <c r="A891" s="130"/>
      <c r="D891" s="43"/>
      <c r="F891" s="87"/>
      <c r="G891" s="87"/>
    </row>
    <row r="892">
      <c r="A892" s="130"/>
      <c r="D892" s="43"/>
      <c r="F892" s="87"/>
      <c r="G892" s="87"/>
    </row>
    <row r="893">
      <c r="A893" s="130"/>
      <c r="D893" s="43"/>
      <c r="F893" s="87"/>
      <c r="G893" s="87"/>
    </row>
    <row r="894">
      <c r="A894" s="130"/>
      <c r="D894" s="43"/>
      <c r="F894" s="87"/>
      <c r="G894" s="87"/>
    </row>
    <row r="895">
      <c r="A895" s="130"/>
      <c r="D895" s="43"/>
      <c r="F895" s="87"/>
      <c r="G895" s="87"/>
    </row>
    <row r="896">
      <c r="A896" s="130"/>
      <c r="D896" s="43"/>
      <c r="F896" s="87"/>
      <c r="G896" s="87"/>
    </row>
    <row r="897">
      <c r="A897" s="130"/>
      <c r="D897" s="43"/>
      <c r="F897" s="87"/>
      <c r="G897" s="87"/>
    </row>
    <row r="898">
      <c r="A898" s="130"/>
      <c r="D898" s="43"/>
      <c r="F898" s="87"/>
      <c r="G898" s="87"/>
    </row>
    <row r="899">
      <c r="A899" s="130"/>
      <c r="D899" s="43"/>
      <c r="F899" s="87"/>
      <c r="G899" s="87"/>
    </row>
    <row r="900">
      <c r="A900" s="130"/>
      <c r="D900" s="43"/>
      <c r="F900" s="87"/>
      <c r="G900" s="87"/>
    </row>
    <row r="901">
      <c r="A901" s="130"/>
      <c r="D901" s="43"/>
      <c r="F901" s="87"/>
      <c r="G901" s="87"/>
    </row>
    <row r="902">
      <c r="A902" s="130"/>
      <c r="D902" s="43"/>
      <c r="F902" s="87"/>
      <c r="G902" s="87"/>
    </row>
    <row r="903">
      <c r="A903" s="130"/>
      <c r="D903" s="43"/>
      <c r="F903" s="87"/>
      <c r="G903" s="87"/>
    </row>
    <row r="904">
      <c r="A904" s="130"/>
      <c r="D904" s="43"/>
      <c r="F904" s="87"/>
      <c r="G904" s="87"/>
    </row>
    <row r="905">
      <c r="A905" s="130"/>
      <c r="D905" s="43"/>
      <c r="F905" s="87"/>
      <c r="G905" s="87"/>
    </row>
    <row r="906">
      <c r="A906" s="130"/>
      <c r="D906" s="43"/>
      <c r="F906" s="87"/>
      <c r="G906" s="87"/>
    </row>
    <row r="907">
      <c r="A907" s="130"/>
      <c r="D907" s="43"/>
      <c r="F907" s="87"/>
      <c r="G907" s="87"/>
    </row>
    <row r="908">
      <c r="A908" s="130"/>
      <c r="D908" s="43"/>
      <c r="F908" s="87"/>
      <c r="G908" s="87"/>
    </row>
    <row r="909">
      <c r="A909" s="130"/>
      <c r="D909" s="43"/>
      <c r="F909" s="87"/>
      <c r="G909" s="87"/>
    </row>
    <row r="910">
      <c r="A910" s="130"/>
      <c r="D910" s="43"/>
      <c r="F910" s="87"/>
      <c r="G910" s="87"/>
    </row>
    <row r="911">
      <c r="A911" s="130"/>
      <c r="D911" s="43"/>
      <c r="F911" s="87"/>
      <c r="G911" s="87"/>
    </row>
    <row r="912">
      <c r="A912" s="130"/>
      <c r="D912" s="43"/>
      <c r="F912" s="87"/>
      <c r="G912" s="87"/>
    </row>
    <row r="913">
      <c r="A913" s="130"/>
      <c r="D913" s="43"/>
      <c r="F913" s="87"/>
      <c r="G913" s="87"/>
    </row>
    <row r="914">
      <c r="A914" s="130"/>
      <c r="D914" s="43"/>
      <c r="F914" s="87"/>
      <c r="G914" s="87"/>
    </row>
    <row r="915">
      <c r="A915" s="130"/>
      <c r="D915" s="43"/>
      <c r="F915" s="87"/>
      <c r="G915" s="87"/>
    </row>
    <row r="916">
      <c r="A916" s="130"/>
      <c r="D916" s="43"/>
      <c r="F916" s="87"/>
      <c r="G916" s="87"/>
    </row>
    <row r="917">
      <c r="A917" s="130"/>
      <c r="D917" s="43"/>
      <c r="F917" s="87"/>
      <c r="G917" s="87"/>
    </row>
    <row r="918">
      <c r="A918" s="130"/>
      <c r="D918" s="43"/>
      <c r="F918" s="87"/>
      <c r="G918" s="87"/>
    </row>
    <row r="919">
      <c r="A919" s="130"/>
      <c r="D919" s="43"/>
      <c r="F919" s="87"/>
      <c r="G919" s="87"/>
    </row>
    <row r="920">
      <c r="A920" s="130"/>
      <c r="D920" s="43"/>
      <c r="F920" s="87"/>
      <c r="G920" s="87"/>
    </row>
    <row r="921">
      <c r="A921" s="130"/>
      <c r="D921" s="43"/>
      <c r="F921" s="87"/>
      <c r="G921" s="87"/>
    </row>
    <row r="922">
      <c r="A922" s="130"/>
      <c r="D922" s="43"/>
      <c r="F922" s="87"/>
      <c r="G922" s="87"/>
    </row>
    <row r="923">
      <c r="A923" s="130"/>
      <c r="D923" s="43"/>
      <c r="F923" s="87"/>
      <c r="G923" s="87"/>
    </row>
    <row r="924">
      <c r="A924" s="130"/>
      <c r="D924" s="43"/>
      <c r="F924" s="87"/>
      <c r="G924" s="87"/>
    </row>
    <row r="925">
      <c r="A925" s="130"/>
      <c r="D925" s="43"/>
      <c r="F925" s="87"/>
      <c r="G925" s="87"/>
    </row>
    <row r="926">
      <c r="A926" s="130"/>
      <c r="D926" s="43"/>
      <c r="F926" s="87"/>
      <c r="G926" s="87"/>
    </row>
    <row r="927">
      <c r="A927" s="130"/>
      <c r="D927" s="43"/>
      <c r="F927" s="87"/>
      <c r="G927" s="87"/>
    </row>
    <row r="928">
      <c r="A928" s="130"/>
      <c r="D928" s="43"/>
      <c r="F928" s="87"/>
      <c r="G928" s="87"/>
    </row>
    <row r="929">
      <c r="A929" s="130"/>
      <c r="D929" s="43"/>
      <c r="F929" s="87"/>
      <c r="G929" s="87"/>
    </row>
    <row r="930">
      <c r="A930" s="130"/>
      <c r="D930" s="43"/>
      <c r="F930" s="87"/>
      <c r="G930" s="87"/>
    </row>
    <row r="931">
      <c r="A931" s="130"/>
      <c r="D931" s="43"/>
      <c r="F931" s="87"/>
      <c r="G931" s="87"/>
    </row>
    <row r="932">
      <c r="A932" s="130"/>
      <c r="D932" s="43"/>
      <c r="F932" s="87"/>
      <c r="G932" s="87"/>
    </row>
    <row r="933">
      <c r="A933" s="130"/>
      <c r="D933" s="43"/>
      <c r="F933" s="87"/>
      <c r="G933" s="87"/>
    </row>
    <row r="934">
      <c r="A934" s="130"/>
      <c r="D934" s="43"/>
      <c r="F934" s="87"/>
      <c r="G934" s="87"/>
    </row>
    <row r="935">
      <c r="A935" s="130"/>
      <c r="D935" s="43"/>
      <c r="F935" s="87"/>
      <c r="G935" s="87"/>
    </row>
    <row r="936">
      <c r="A936" s="130"/>
      <c r="D936" s="43"/>
      <c r="F936" s="87"/>
      <c r="G936" s="87"/>
    </row>
    <row r="937">
      <c r="A937" s="130"/>
      <c r="D937" s="43"/>
      <c r="F937" s="87"/>
      <c r="G937" s="87"/>
    </row>
    <row r="938">
      <c r="A938" s="130"/>
      <c r="D938" s="43"/>
      <c r="F938" s="87"/>
      <c r="G938" s="87"/>
    </row>
    <row r="939">
      <c r="A939" s="130"/>
      <c r="D939" s="43"/>
      <c r="F939" s="87"/>
      <c r="G939" s="87"/>
    </row>
    <row r="940">
      <c r="A940" s="130"/>
      <c r="D940" s="43"/>
      <c r="F940" s="87"/>
      <c r="G940" s="87"/>
    </row>
    <row r="941">
      <c r="A941" s="130"/>
      <c r="D941" s="43"/>
      <c r="F941" s="87"/>
      <c r="G941" s="87"/>
    </row>
    <row r="942">
      <c r="A942" s="130"/>
      <c r="D942" s="43"/>
      <c r="F942" s="87"/>
      <c r="G942" s="87"/>
    </row>
    <row r="943">
      <c r="A943" s="130"/>
      <c r="D943" s="43"/>
      <c r="F943" s="87"/>
      <c r="G943" s="87"/>
    </row>
    <row r="944">
      <c r="A944" s="130"/>
      <c r="D944" s="43"/>
      <c r="F944" s="87"/>
      <c r="G944" s="87"/>
    </row>
    <row r="945">
      <c r="A945" s="130"/>
      <c r="D945" s="43"/>
      <c r="F945" s="87"/>
      <c r="G945" s="87"/>
    </row>
    <row r="946">
      <c r="A946" s="130"/>
      <c r="D946" s="43"/>
      <c r="F946" s="87"/>
      <c r="G946" s="87"/>
    </row>
    <row r="947">
      <c r="A947" s="130"/>
      <c r="D947" s="43"/>
      <c r="F947" s="87"/>
      <c r="G947" s="87"/>
    </row>
    <row r="948">
      <c r="A948" s="130"/>
      <c r="D948" s="43"/>
      <c r="F948" s="87"/>
      <c r="G948" s="87"/>
    </row>
    <row r="949">
      <c r="A949" s="130"/>
      <c r="D949" s="43"/>
      <c r="F949" s="87"/>
      <c r="G949" s="87"/>
    </row>
    <row r="950">
      <c r="A950" s="130"/>
      <c r="D950" s="43"/>
      <c r="F950" s="87"/>
      <c r="G950" s="87"/>
    </row>
    <row r="951">
      <c r="A951" s="130"/>
      <c r="D951" s="43"/>
      <c r="F951" s="87"/>
      <c r="G951" s="87"/>
    </row>
    <row r="952">
      <c r="A952" s="130"/>
      <c r="D952" s="43"/>
      <c r="F952" s="87"/>
      <c r="G952" s="87"/>
    </row>
    <row r="953">
      <c r="A953" s="130"/>
      <c r="D953" s="43"/>
      <c r="F953" s="87"/>
      <c r="G953" s="87"/>
    </row>
    <row r="954">
      <c r="A954" s="130"/>
      <c r="D954" s="43"/>
      <c r="F954" s="87"/>
      <c r="G954" s="87"/>
    </row>
    <row r="955">
      <c r="A955" s="130"/>
      <c r="D955" s="43"/>
      <c r="F955" s="87"/>
      <c r="G955" s="87"/>
    </row>
    <row r="956">
      <c r="A956" s="130"/>
      <c r="D956" s="43"/>
      <c r="F956" s="87"/>
      <c r="G956" s="87"/>
    </row>
    <row r="957">
      <c r="A957" s="130"/>
      <c r="D957" s="43"/>
      <c r="F957" s="87"/>
      <c r="G957" s="87"/>
    </row>
    <row r="958">
      <c r="A958" s="130"/>
      <c r="D958" s="43"/>
      <c r="F958" s="87"/>
      <c r="G958" s="87"/>
    </row>
    <row r="959">
      <c r="A959" s="130"/>
      <c r="D959" s="43"/>
      <c r="F959" s="87"/>
      <c r="G959" s="87"/>
    </row>
    <row r="960">
      <c r="A960" s="130"/>
      <c r="D960" s="43"/>
      <c r="F960" s="87"/>
      <c r="G960" s="87"/>
    </row>
    <row r="961">
      <c r="A961" s="130"/>
      <c r="D961" s="43"/>
      <c r="F961" s="87"/>
      <c r="G961" s="87"/>
    </row>
    <row r="962">
      <c r="A962" s="130"/>
      <c r="D962" s="43"/>
      <c r="F962" s="87"/>
      <c r="G962" s="87"/>
    </row>
    <row r="963">
      <c r="A963" s="130"/>
      <c r="D963" s="43"/>
      <c r="F963" s="87"/>
      <c r="G963" s="87"/>
    </row>
    <row r="964">
      <c r="A964" s="130"/>
      <c r="D964" s="43"/>
      <c r="F964" s="87"/>
      <c r="G964" s="87"/>
    </row>
    <row r="965">
      <c r="A965" s="130"/>
      <c r="D965" s="43"/>
      <c r="F965" s="87"/>
      <c r="G965" s="87"/>
    </row>
    <row r="966">
      <c r="A966" s="130"/>
      <c r="D966" s="43"/>
      <c r="F966" s="87"/>
      <c r="G966" s="87"/>
    </row>
    <row r="967">
      <c r="A967" s="130"/>
      <c r="D967" s="43"/>
      <c r="F967" s="87"/>
      <c r="G967" s="87"/>
    </row>
    <row r="968">
      <c r="A968" s="130"/>
      <c r="D968" s="43"/>
      <c r="F968" s="87"/>
      <c r="G968" s="87"/>
    </row>
    <row r="969">
      <c r="A969" s="130"/>
      <c r="D969" s="43"/>
      <c r="F969" s="87"/>
      <c r="G969" s="87"/>
    </row>
    <row r="970">
      <c r="A970" s="130"/>
      <c r="D970" s="43"/>
      <c r="F970" s="87"/>
      <c r="G970" s="87"/>
    </row>
    <row r="971">
      <c r="A971" s="130"/>
      <c r="D971" s="43"/>
      <c r="F971" s="87"/>
      <c r="G971" s="87"/>
    </row>
    <row r="972">
      <c r="A972" s="130"/>
      <c r="D972" s="43"/>
      <c r="F972" s="87"/>
      <c r="G972" s="87"/>
    </row>
    <row r="973">
      <c r="A973" s="130"/>
      <c r="D973" s="43"/>
      <c r="F973" s="87"/>
      <c r="G973" s="87"/>
    </row>
    <row r="974">
      <c r="A974" s="130"/>
      <c r="D974" s="43"/>
      <c r="F974" s="87"/>
      <c r="G974" s="87"/>
    </row>
    <row r="975">
      <c r="A975" s="130"/>
      <c r="D975" s="43"/>
      <c r="F975" s="87"/>
      <c r="G975" s="87"/>
    </row>
    <row r="976">
      <c r="A976" s="130"/>
      <c r="D976" s="43"/>
      <c r="F976" s="87"/>
      <c r="G976" s="87"/>
    </row>
    <row r="977">
      <c r="A977" s="130"/>
      <c r="D977" s="43"/>
      <c r="F977" s="87"/>
      <c r="G977" s="87"/>
    </row>
    <row r="978">
      <c r="A978" s="130"/>
      <c r="D978" s="43"/>
      <c r="F978" s="87"/>
      <c r="G978" s="87"/>
    </row>
    <row r="979">
      <c r="A979" s="130"/>
      <c r="D979" s="43"/>
      <c r="F979" s="87"/>
      <c r="G979" s="87"/>
    </row>
    <row r="980">
      <c r="A980" s="130"/>
      <c r="D980" s="43"/>
      <c r="F980" s="87"/>
      <c r="G980" s="87"/>
    </row>
    <row r="981">
      <c r="A981" s="130"/>
      <c r="D981" s="43"/>
      <c r="F981" s="87"/>
      <c r="G981" s="87"/>
    </row>
    <row r="982">
      <c r="A982" s="130"/>
      <c r="D982" s="43"/>
      <c r="F982" s="87"/>
      <c r="G982" s="87"/>
    </row>
    <row r="983">
      <c r="A983" s="130"/>
      <c r="D983" s="43"/>
      <c r="F983" s="87"/>
      <c r="G983" s="87"/>
    </row>
    <row r="984">
      <c r="A984" s="130"/>
      <c r="D984" s="43"/>
      <c r="F984" s="87"/>
      <c r="G984" s="87"/>
    </row>
    <row r="985">
      <c r="A985" s="130"/>
      <c r="D985" s="43"/>
      <c r="F985" s="87"/>
      <c r="G985" s="87"/>
    </row>
    <row r="986">
      <c r="A986" s="130"/>
      <c r="D986" s="43"/>
      <c r="F986" s="87"/>
      <c r="G986" s="87"/>
    </row>
    <row r="987">
      <c r="A987" s="130"/>
      <c r="D987" s="43"/>
      <c r="F987" s="87"/>
      <c r="G987" s="87"/>
    </row>
    <row r="988">
      <c r="A988" s="130"/>
      <c r="D988" s="43"/>
      <c r="F988" s="87"/>
      <c r="G988" s="87"/>
    </row>
    <row r="989">
      <c r="A989" s="130"/>
      <c r="D989" s="43"/>
      <c r="F989" s="87"/>
      <c r="G989" s="87"/>
    </row>
    <row r="990">
      <c r="A990" s="130"/>
      <c r="D990" s="43"/>
      <c r="F990" s="87"/>
      <c r="G990" s="87"/>
    </row>
    <row r="991">
      <c r="A991" s="130"/>
      <c r="D991" s="43"/>
      <c r="F991" s="87"/>
      <c r="G991" s="87"/>
    </row>
    <row r="992">
      <c r="A992" s="130"/>
      <c r="D992" s="43"/>
      <c r="F992" s="87"/>
      <c r="G992" s="87"/>
    </row>
    <row r="993">
      <c r="A993" s="130"/>
      <c r="D993" s="43"/>
      <c r="F993" s="87"/>
      <c r="G993" s="87"/>
    </row>
    <row r="994">
      <c r="A994" s="130"/>
      <c r="D994" s="43"/>
      <c r="F994" s="87"/>
      <c r="G994" s="87"/>
    </row>
    <row r="995">
      <c r="A995" s="130"/>
      <c r="D995" s="43"/>
      <c r="F995" s="87"/>
      <c r="G995" s="87"/>
    </row>
    <row r="996">
      <c r="A996" s="130"/>
      <c r="D996" s="43"/>
      <c r="F996" s="87"/>
      <c r="G996" s="87"/>
    </row>
    <row r="997">
      <c r="A997" s="130"/>
      <c r="D997" s="43"/>
      <c r="F997" s="87"/>
      <c r="G997" s="87"/>
    </row>
    <row r="998">
      <c r="A998" s="130"/>
      <c r="D998" s="43"/>
      <c r="F998" s="87"/>
      <c r="G998" s="87"/>
    </row>
    <row r="999">
      <c r="A999" s="130"/>
      <c r="D999" s="43"/>
      <c r="F999" s="87"/>
      <c r="G999" s="87"/>
    </row>
    <row r="1000">
      <c r="A1000" s="130"/>
      <c r="D1000" s="43"/>
      <c r="F1000" s="87"/>
      <c r="G1000" s="87"/>
    </row>
  </sheetData>
  <dataValidations>
    <dataValidation type="list" allowBlank="1" showErrorMessage="1" sqref="F2:F1000">
      <formula1>"One-off,Recurring"</formula1>
    </dataValidation>
    <dataValidation type="list" allowBlank="1" showErrorMessage="1" sqref="G2:G1000">
      <formula1>"Fix,Must Have,Nice to Have,Pending Reconciliation,Should Have,VERIFY - possible fraud,n/a"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45.25"/>
    <col customWidth="1" min="3" max="3" width="55.5"/>
    <col customWidth="1" min="4" max="4" width="10.38"/>
    <col customWidth="1" min="5" max="6" width="13.25"/>
    <col customWidth="1" min="7" max="10" width="12.63"/>
  </cols>
  <sheetData>
    <row r="1">
      <c r="A1" s="66" t="s">
        <v>122</v>
      </c>
      <c r="B1" s="68" t="s">
        <v>125</v>
      </c>
      <c r="C1" s="68" t="s">
        <v>8</v>
      </c>
      <c r="D1" s="69" t="s">
        <v>126</v>
      </c>
      <c r="E1" s="66" t="s">
        <v>9</v>
      </c>
      <c r="F1" s="66" t="s">
        <v>0</v>
      </c>
      <c r="G1" s="68" t="s">
        <v>7</v>
      </c>
      <c r="H1" s="68" t="s">
        <v>127</v>
      </c>
    </row>
    <row r="2">
      <c r="A2" s="70" t="s">
        <v>128</v>
      </c>
      <c r="B2" s="74" t="s">
        <v>129</v>
      </c>
      <c r="C2" s="75" t="s">
        <v>137</v>
      </c>
      <c r="D2" s="21">
        <v>3420.89</v>
      </c>
      <c r="E2" s="27" t="s">
        <v>14</v>
      </c>
      <c r="F2" s="27" t="s">
        <v>14</v>
      </c>
      <c r="G2" s="76">
        <f>IFERROR(vlookup(E2,Data!$A$2:$B$4,2,0), 0) + IFERROR(vlookup(F2,Data!$A$2:$B$4,2,0), 0)</f>
        <v>4</v>
      </c>
      <c r="H2" s="75" t="s">
        <v>151</v>
      </c>
    </row>
    <row r="3">
      <c r="A3" s="70" t="s">
        <v>153</v>
      </c>
      <c r="B3" s="74" t="s">
        <v>155</v>
      </c>
      <c r="C3" s="75" t="s">
        <v>163</v>
      </c>
      <c r="D3" s="21">
        <v>3290.0</v>
      </c>
      <c r="E3" s="27" t="s">
        <v>26</v>
      </c>
      <c r="F3" s="27" t="s">
        <v>14</v>
      </c>
      <c r="G3" s="76">
        <f>IFERROR(vlookup(E3,Data!$A$2:$B$4,2,0), 0) + IFERROR(vlookup(F3,Data!$A$2:$B$4,2,0), 0)</f>
        <v>3</v>
      </c>
      <c r="H3" s="75" t="s">
        <v>151</v>
      </c>
    </row>
    <row r="4">
      <c r="A4" s="70" t="s">
        <v>171</v>
      </c>
      <c r="B4" s="78" t="s">
        <v>173</v>
      </c>
      <c r="C4" s="79"/>
      <c r="D4" s="21">
        <f>149 * 3</f>
        <v>447</v>
      </c>
      <c r="E4" s="27" t="s">
        <v>26</v>
      </c>
      <c r="F4" s="27" t="s">
        <v>26</v>
      </c>
      <c r="G4" s="76">
        <f>IFERROR(vlookup(E4,Data!$A$2:$B$4,2,0), 0) + IFERROR(vlookup(F4,Data!$A$2:$B$4,2,0), 0)</f>
        <v>2</v>
      </c>
      <c r="H4" s="75" t="s">
        <v>184</v>
      </c>
    </row>
    <row r="5">
      <c r="A5" s="70" t="s">
        <v>185</v>
      </c>
      <c r="B5" s="74" t="s">
        <v>186</v>
      </c>
      <c r="C5" s="75" t="s">
        <v>189</v>
      </c>
      <c r="D5" s="21">
        <v>240.0</v>
      </c>
      <c r="E5" s="27" t="s">
        <v>26</v>
      </c>
      <c r="F5" s="27" t="s">
        <v>26</v>
      </c>
      <c r="G5" s="76">
        <f>IFERROR(vlookup(E5,Data!$A$2:$B$4,2,0), 0) + IFERROR(vlookup(F5,Data!$A$2:$B$4,2,0), 0)</f>
        <v>2</v>
      </c>
      <c r="H5" s="75" t="s">
        <v>194</v>
      </c>
    </row>
    <row r="6">
      <c r="A6" s="70" t="s">
        <v>195</v>
      </c>
      <c r="B6" s="82" t="s">
        <v>196</v>
      </c>
      <c r="C6" s="75" t="s">
        <v>200</v>
      </c>
      <c r="D6" s="21">
        <v>895.0</v>
      </c>
      <c r="E6" s="27" t="s">
        <v>201</v>
      </c>
      <c r="F6" s="27" t="s">
        <v>201</v>
      </c>
      <c r="G6" s="76">
        <f>IFERROR(vlookup(E6,Data!$A$2:$B$4,2,0), 0) + IFERROR(vlookup(F6,Data!$A$2:$B$4,2,0), 0)</f>
        <v>0</v>
      </c>
      <c r="H6" s="75" t="s">
        <v>151</v>
      </c>
    </row>
    <row r="7">
      <c r="A7" s="70" t="s">
        <v>205</v>
      </c>
      <c r="B7" s="85" t="s">
        <v>206</v>
      </c>
      <c r="C7" s="75" t="s">
        <v>210</v>
      </c>
      <c r="D7" s="43">
        <f>289</f>
        <v>289</v>
      </c>
      <c r="E7" s="27" t="s">
        <v>201</v>
      </c>
      <c r="F7" s="27" t="s">
        <v>201</v>
      </c>
      <c r="G7" s="76">
        <f>IFERROR(vlookup(E7,Data!$A$2:$B$4,2,0), 0) + IFERROR(vlookup(F7,Data!$A$2:$B$4,2,0), 0)</f>
        <v>0</v>
      </c>
      <c r="H7" s="75" t="s">
        <v>214</v>
      </c>
    </row>
    <row r="8">
      <c r="A8" s="70" t="s">
        <v>215</v>
      </c>
      <c r="B8" s="85" t="s">
        <v>216</v>
      </c>
      <c r="C8" s="75" t="s">
        <v>218</v>
      </c>
      <c r="D8" s="43">
        <f>99</f>
        <v>99</v>
      </c>
      <c r="E8" s="27" t="s">
        <v>201</v>
      </c>
      <c r="F8" s="27" t="s">
        <v>201</v>
      </c>
      <c r="G8" s="76">
        <f>IFERROR(vlookup(E8,Data!$A$2:$B$4,2,0), 0) + IFERROR(vlookup(F8,Data!$A$2:$B$4,2,0), 0)</f>
        <v>0</v>
      </c>
      <c r="H8" s="75" t="s">
        <v>214</v>
      </c>
    </row>
    <row r="9">
      <c r="A9" s="70" t="s">
        <v>220</v>
      </c>
      <c r="B9" s="78"/>
      <c r="C9" s="79"/>
      <c r="D9" s="21">
        <v>500.0</v>
      </c>
      <c r="E9" s="27" t="s">
        <v>201</v>
      </c>
      <c r="F9" s="27" t="s">
        <v>201</v>
      </c>
      <c r="G9" s="76">
        <f>IFERROR(vlookup(E9,Data!$A$2:$B$4,2,0), 0) + IFERROR(vlookup(F9,Data!$A$2:$B$4,2,0), 0)</f>
        <v>0</v>
      </c>
      <c r="H9" s="75"/>
    </row>
    <row r="10">
      <c r="A10" s="70"/>
      <c r="B10" s="75"/>
      <c r="C10" s="75"/>
      <c r="D10" s="21"/>
      <c r="E10" s="87"/>
      <c r="F10" s="87"/>
      <c r="G10" s="88">
        <v>0.0</v>
      </c>
      <c r="H10" s="75"/>
    </row>
    <row r="11">
      <c r="A11" s="70"/>
      <c r="B11" s="75"/>
      <c r="C11" s="75"/>
      <c r="D11" s="21"/>
      <c r="E11" s="87"/>
      <c r="F11" s="87"/>
      <c r="G11" s="88">
        <v>0.0</v>
      </c>
      <c r="H11" s="79"/>
    </row>
    <row r="12">
      <c r="A12" s="70"/>
      <c r="B12" s="75"/>
      <c r="C12" s="79"/>
      <c r="D12" s="21"/>
      <c r="E12" s="87"/>
      <c r="F12" s="87"/>
      <c r="G12" s="88">
        <v>0.0</v>
      </c>
      <c r="H12" s="75"/>
    </row>
    <row r="13">
      <c r="A13" s="70"/>
      <c r="B13" s="75"/>
      <c r="C13" s="75"/>
      <c r="D13" s="21"/>
      <c r="E13" s="87"/>
      <c r="F13" s="87"/>
      <c r="G13" s="88">
        <v>0.0</v>
      </c>
      <c r="H13" s="75"/>
    </row>
    <row r="14">
      <c r="A14" s="70"/>
      <c r="B14" s="75"/>
      <c r="C14" s="75"/>
      <c r="D14" s="21"/>
      <c r="E14" s="87"/>
      <c r="F14" s="87"/>
      <c r="G14" s="88">
        <v>0.0</v>
      </c>
      <c r="H14" s="75"/>
    </row>
    <row r="15">
      <c r="A15" s="70"/>
      <c r="B15" s="89"/>
      <c r="C15" s="90"/>
      <c r="D15" s="21"/>
      <c r="E15" s="87"/>
      <c r="F15" s="87"/>
      <c r="G15" s="88">
        <v>0.0</v>
      </c>
      <c r="H15" s="75"/>
    </row>
    <row r="16">
      <c r="A16" s="70"/>
      <c r="B16" s="89"/>
      <c r="C16" s="90"/>
      <c r="D16" s="21"/>
      <c r="E16" s="87"/>
      <c r="F16" s="87"/>
      <c r="G16" s="88">
        <v>0.0</v>
      </c>
      <c r="H16" s="75"/>
    </row>
    <row r="17">
      <c r="A17" s="92"/>
      <c r="B17" s="79"/>
      <c r="C17" s="79"/>
      <c r="D17" s="43"/>
      <c r="E17" s="87"/>
      <c r="F17" s="87"/>
      <c r="G17" s="76">
        <f>IFERROR(vlookup(E17,Data!$A$2:$B$4,2,0), 0) + IFERROR(vlookup(F17,Data!$A$2:$B$4,2,0), 0)</f>
        <v>0</v>
      </c>
      <c r="H17" s="79"/>
    </row>
    <row r="18">
      <c r="A18" s="92"/>
      <c r="B18" s="79"/>
      <c r="C18" s="79"/>
      <c r="D18" s="43"/>
      <c r="E18" s="87"/>
      <c r="F18" s="87"/>
      <c r="G18" s="76">
        <f>IFERROR(vlookup(E18,Data!$A$2:$B$4,2,0), 0) + IFERROR(vlookup(F18,Data!$A$2:$B$4,2,0), 0)</f>
        <v>0</v>
      </c>
      <c r="H18" s="79"/>
    </row>
    <row r="19">
      <c r="A19" s="92"/>
      <c r="B19" s="79"/>
      <c r="C19" s="79"/>
      <c r="D19" s="43"/>
      <c r="E19" s="87"/>
      <c r="F19" s="87"/>
      <c r="G19" s="76">
        <f>IFERROR(vlookup(E19,Data!$A$2:$B$4,2,0), 0) + IFERROR(vlookup(F19,Data!$A$2:$B$4,2,0), 0)</f>
        <v>0</v>
      </c>
      <c r="H19" s="79"/>
    </row>
    <row r="20">
      <c r="A20" s="92"/>
      <c r="B20" s="79"/>
      <c r="C20" s="79"/>
      <c r="D20" s="43"/>
      <c r="E20" s="87"/>
      <c r="F20" s="87"/>
      <c r="G20" s="76">
        <f>IFERROR(vlookup(E20,Data!$A$2:$B$4,2,0), 0) + IFERROR(vlookup(F20,Data!$A$2:$B$4,2,0), 0)</f>
        <v>0</v>
      </c>
      <c r="H20" s="79"/>
    </row>
    <row r="21">
      <c r="A21" s="92"/>
      <c r="B21" s="79"/>
      <c r="C21" s="79"/>
      <c r="D21" s="43"/>
      <c r="E21" s="87"/>
      <c r="F21" s="87"/>
      <c r="G21" s="76">
        <f>IFERROR(vlookup(E21,Data!$A$2:$B$4,2,0), 0) + IFERROR(vlookup(F21,Data!$A$2:$B$4,2,0), 0)</f>
        <v>0</v>
      </c>
      <c r="H21" s="79"/>
    </row>
    <row r="22">
      <c r="A22" s="92"/>
      <c r="B22" s="79"/>
      <c r="C22" s="79"/>
      <c r="D22" s="43"/>
      <c r="E22" s="87"/>
      <c r="F22" s="87"/>
      <c r="G22" s="76">
        <f>IFERROR(vlookup(E22,Data!$A$2:$B$4,2,0), 0) + IFERROR(vlookup(F22,Data!$A$2:$B$4,2,0), 0)</f>
        <v>0</v>
      </c>
      <c r="H22" s="79"/>
    </row>
    <row r="23">
      <c r="A23" s="92"/>
      <c r="B23" s="79"/>
      <c r="C23" s="79"/>
      <c r="D23" s="43"/>
      <c r="E23" s="87"/>
      <c r="F23" s="87"/>
      <c r="G23" s="76">
        <f>IFERROR(vlookup(E23,Data!$A$2:$B$4,2,0), 0) + IFERROR(vlookup(F23,Data!$A$2:$B$4,2,0), 0)</f>
        <v>0</v>
      </c>
      <c r="H23" s="79"/>
    </row>
    <row r="24">
      <c r="A24" s="92"/>
      <c r="B24" s="79"/>
      <c r="C24" s="79"/>
      <c r="D24" s="43"/>
      <c r="E24" s="87"/>
      <c r="F24" s="87"/>
      <c r="G24" s="76">
        <f>IFERROR(vlookup(E24,Data!$A$2:$B$4,2,0), 0) + IFERROR(vlookup(F24,Data!$A$2:$B$4,2,0), 0)</f>
        <v>0</v>
      </c>
      <c r="H24" s="79"/>
    </row>
    <row r="25">
      <c r="A25" s="92"/>
      <c r="B25" s="79"/>
      <c r="C25" s="79"/>
      <c r="D25" s="43"/>
      <c r="E25" s="87"/>
      <c r="F25" s="87"/>
      <c r="G25" s="76">
        <f>IFERROR(vlookup(E25,Data!$A$2:$B$4,2,0), 0) + IFERROR(vlookup(F25,Data!$A$2:$B$4,2,0), 0)</f>
        <v>0</v>
      </c>
      <c r="H25" s="79"/>
    </row>
    <row r="26">
      <c r="A26" s="92"/>
      <c r="B26" s="79"/>
      <c r="C26" s="79"/>
      <c r="D26" s="43"/>
      <c r="E26" s="87"/>
      <c r="F26" s="87"/>
      <c r="G26" s="76">
        <f>IFERROR(vlookup(E26,Data!$A$2:$B$4,2,0), 0) + IFERROR(vlookup(F26,Data!$A$2:$B$4,2,0), 0)</f>
        <v>0</v>
      </c>
      <c r="H26" s="79"/>
    </row>
    <row r="27">
      <c r="A27" s="92"/>
      <c r="B27" s="79"/>
      <c r="C27" s="79"/>
      <c r="D27" s="43"/>
      <c r="E27" s="87"/>
      <c r="F27" s="87"/>
      <c r="G27" s="76">
        <f>IFERROR(vlookup(E27,Data!$A$2:$B$4,2,0), 0) + IFERROR(vlookup(F27,Data!$A$2:$B$4,2,0), 0)</f>
        <v>0</v>
      </c>
      <c r="H27" s="79"/>
    </row>
    <row r="28">
      <c r="A28" s="92"/>
      <c r="B28" s="79"/>
      <c r="C28" s="79"/>
      <c r="D28" s="43"/>
      <c r="E28" s="87"/>
      <c r="F28" s="87"/>
      <c r="G28" s="76">
        <f>IFERROR(vlookup(E28,Data!$A$2:$B$4,2,0), 0) + IFERROR(vlookup(F28,Data!$A$2:$B$4,2,0), 0)</f>
        <v>0</v>
      </c>
      <c r="H28" s="79"/>
    </row>
    <row r="29">
      <c r="A29" s="92"/>
      <c r="B29" s="79"/>
      <c r="C29" s="79"/>
      <c r="D29" s="43"/>
      <c r="E29" s="87"/>
      <c r="F29" s="87"/>
      <c r="G29" s="76">
        <f>IFERROR(vlookup(E29,Data!$A$2:$B$4,2,0), 0) + IFERROR(vlookup(F29,Data!$A$2:$B$4,2,0), 0)</f>
        <v>0</v>
      </c>
      <c r="H29" s="79"/>
    </row>
    <row r="30">
      <c r="A30" s="92"/>
      <c r="B30" s="79"/>
      <c r="C30" s="79"/>
      <c r="D30" s="43"/>
      <c r="E30" s="87"/>
      <c r="F30" s="87"/>
      <c r="G30" s="76">
        <f>IFERROR(vlookup(E30,Data!$A$2:$B$4,2,0), 0) + IFERROR(vlookup(F30,Data!$A$2:$B$4,2,0), 0)</f>
        <v>0</v>
      </c>
      <c r="H30" s="79"/>
    </row>
    <row r="31">
      <c r="A31" s="92"/>
      <c r="B31" s="79"/>
      <c r="C31" s="79"/>
      <c r="D31" s="43"/>
      <c r="E31" s="87"/>
      <c r="F31" s="87"/>
      <c r="G31" s="76">
        <f>IFERROR(vlookup(E31,Data!$A$2:$B$4,2,0), 0) + IFERROR(vlookup(F31,Data!$A$2:$B$4,2,0), 0)</f>
        <v>0</v>
      </c>
      <c r="H31" s="79"/>
    </row>
    <row r="32">
      <c r="A32" s="92"/>
      <c r="B32" s="79"/>
      <c r="C32" s="79"/>
      <c r="D32" s="43"/>
      <c r="E32" s="87"/>
      <c r="F32" s="87"/>
      <c r="G32" s="76">
        <f>IFERROR(vlookup(E32,Data!$A$2:$B$4,2,0), 0) + IFERROR(vlookup(F32,Data!$A$2:$B$4,2,0), 0)</f>
        <v>0</v>
      </c>
      <c r="H32" s="79"/>
    </row>
    <row r="33">
      <c r="A33" s="92"/>
      <c r="B33" s="79"/>
      <c r="C33" s="79"/>
      <c r="D33" s="43"/>
      <c r="E33" s="87"/>
      <c r="F33" s="87"/>
      <c r="G33" s="76">
        <f>IFERROR(vlookup(E33,Data!$A$2:$B$4,2,0), 0) + IFERROR(vlookup(F33,Data!$A$2:$B$4,2,0), 0)</f>
        <v>0</v>
      </c>
      <c r="H33" s="79"/>
    </row>
    <row r="34">
      <c r="A34" s="92"/>
      <c r="B34" s="79"/>
      <c r="C34" s="79"/>
      <c r="D34" s="43"/>
      <c r="E34" s="87"/>
      <c r="F34" s="87"/>
      <c r="G34" s="76">
        <f>IFERROR(vlookup(E34,Data!$A$2:$B$4,2,0), 0) + IFERROR(vlookup(F34,Data!$A$2:$B$4,2,0), 0)</f>
        <v>0</v>
      </c>
      <c r="H34" s="79"/>
    </row>
    <row r="35">
      <c r="A35" s="92"/>
      <c r="B35" s="79"/>
      <c r="C35" s="79"/>
      <c r="D35" s="43"/>
      <c r="E35" s="87"/>
      <c r="F35" s="87"/>
      <c r="G35" s="76">
        <f>IFERROR(vlookup(E35,Data!$A$2:$B$4,2,0), 0) + IFERROR(vlookup(F35,Data!$A$2:$B$4,2,0), 0)</f>
        <v>0</v>
      </c>
      <c r="H35" s="79"/>
    </row>
    <row r="36">
      <c r="A36" s="92"/>
      <c r="B36" s="79"/>
      <c r="C36" s="79"/>
      <c r="D36" s="43"/>
      <c r="E36" s="87"/>
      <c r="F36" s="87"/>
      <c r="G36" s="76">
        <f>IFERROR(vlookup(E36,Data!$A$2:$B$4,2,0), 0) + IFERROR(vlookup(F36,Data!$A$2:$B$4,2,0), 0)</f>
        <v>0</v>
      </c>
      <c r="H36" s="79"/>
    </row>
    <row r="37">
      <c r="A37" s="92"/>
      <c r="B37" s="79"/>
      <c r="C37" s="79"/>
      <c r="D37" s="43"/>
      <c r="E37" s="87"/>
      <c r="F37" s="87"/>
      <c r="G37" s="76">
        <f>IFERROR(vlookup(E37,Data!$A$2:$B$4,2,0), 0) + IFERROR(vlookup(F37,Data!$A$2:$B$4,2,0), 0)</f>
        <v>0</v>
      </c>
      <c r="H37" s="79"/>
    </row>
    <row r="38">
      <c r="A38" s="92"/>
      <c r="B38" s="79"/>
      <c r="C38" s="79"/>
      <c r="D38" s="43"/>
      <c r="E38" s="87"/>
      <c r="F38" s="87"/>
      <c r="G38" s="76">
        <f>IFERROR(vlookup(E38,Data!$A$2:$B$4,2,0), 0) + IFERROR(vlookup(F38,Data!$A$2:$B$4,2,0), 0)</f>
        <v>0</v>
      </c>
      <c r="H38" s="79"/>
    </row>
    <row r="39">
      <c r="A39" s="92"/>
      <c r="B39" s="79"/>
      <c r="C39" s="79"/>
      <c r="D39" s="43"/>
      <c r="E39" s="87"/>
      <c r="F39" s="87"/>
      <c r="G39" s="76">
        <f>IFERROR(vlookup(E39,Data!$A$2:$B$4,2,0), 0) + IFERROR(vlookup(F39,Data!$A$2:$B$4,2,0), 0)</f>
        <v>0</v>
      </c>
      <c r="H39" s="79"/>
    </row>
    <row r="40">
      <c r="A40" s="92"/>
      <c r="B40" s="79"/>
      <c r="C40" s="79"/>
      <c r="D40" s="43"/>
      <c r="E40" s="87"/>
      <c r="F40" s="87"/>
      <c r="G40" s="76">
        <f>IFERROR(vlookup(E40,Data!$A$2:$B$4,2,0), 0) + IFERROR(vlookup(F40,Data!$A$2:$B$4,2,0), 0)</f>
        <v>0</v>
      </c>
      <c r="H40" s="79"/>
    </row>
    <row r="41">
      <c r="A41" s="92"/>
      <c r="B41" s="79"/>
      <c r="C41" s="79"/>
      <c r="D41" s="43"/>
      <c r="E41" s="87"/>
      <c r="F41" s="87"/>
      <c r="G41" s="76">
        <f>IFERROR(vlookup(E41,Data!$A$2:$B$4,2,0), 0) + IFERROR(vlookup(F41,Data!$A$2:$B$4,2,0), 0)</f>
        <v>0</v>
      </c>
      <c r="H41" s="79"/>
    </row>
    <row r="42">
      <c r="A42" s="92"/>
      <c r="B42" s="79"/>
      <c r="C42" s="79"/>
      <c r="D42" s="43"/>
      <c r="E42" s="87"/>
      <c r="F42" s="87"/>
      <c r="G42" s="76">
        <f>IFERROR(vlookup(E42,Data!$A$2:$B$4,2,0), 0) + IFERROR(vlookup(F42,Data!$A$2:$B$4,2,0), 0)</f>
        <v>0</v>
      </c>
      <c r="H42" s="79"/>
    </row>
    <row r="43">
      <c r="A43" s="92"/>
      <c r="B43" s="79"/>
      <c r="C43" s="79"/>
      <c r="D43" s="43"/>
      <c r="E43" s="87"/>
      <c r="F43" s="87"/>
      <c r="G43" s="76">
        <f>IFERROR(vlookup(E43,Data!$A$2:$B$4,2,0), 0) + IFERROR(vlookup(F43,Data!$A$2:$B$4,2,0), 0)</f>
        <v>0</v>
      </c>
      <c r="H43" s="79"/>
    </row>
    <row r="44">
      <c r="A44" s="92"/>
      <c r="B44" s="79"/>
      <c r="C44" s="79"/>
      <c r="D44" s="43"/>
      <c r="E44" s="87"/>
      <c r="F44" s="87"/>
      <c r="G44" s="76">
        <f>IFERROR(vlookup(E44,Data!$A$2:$B$4,2,0), 0) + IFERROR(vlookup(F44,Data!$A$2:$B$4,2,0), 0)</f>
        <v>0</v>
      </c>
      <c r="H44" s="79"/>
    </row>
    <row r="45">
      <c r="A45" s="92"/>
      <c r="B45" s="79"/>
      <c r="C45" s="79"/>
      <c r="D45" s="43"/>
      <c r="E45" s="87"/>
      <c r="F45" s="87"/>
      <c r="G45" s="76">
        <f>IFERROR(vlookup(E45,Data!$A$2:$B$4,2,0), 0) + IFERROR(vlookup(F45,Data!$A$2:$B$4,2,0), 0)</f>
        <v>0</v>
      </c>
      <c r="H45" s="79"/>
    </row>
    <row r="46">
      <c r="A46" s="92"/>
      <c r="B46" s="79"/>
      <c r="C46" s="79"/>
      <c r="D46" s="43"/>
      <c r="E46" s="87"/>
      <c r="F46" s="87"/>
      <c r="G46" s="76">
        <f>IFERROR(vlookup(E46,Data!$A$2:$B$4,2,0), 0) + IFERROR(vlookup(F46,Data!$A$2:$B$4,2,0), 0)</f>
        <v>0</v>
      </c>
      <c r="H46" s="79"/>
    </row>
    <row r="47">
      <c r="A47" s="92"/>
      <c r="B47" s="79"/>
      <c r="C47" s="79"/>
      <c r="D47" s="43"/>
      <c r="E47" s="87"/>
      <c r="F47" s="87"/>
      <c r="G47" s="76">
        <f>IFERROR(vlookup(E47,Data!$A$2:$B$4,2,0), 0) + IFERROR(vlookup(F47,Data!$A$2:$B$4,2,0), 0)</f>
        <v>0</v>
      </c>
      <c r="H47" s="79"/>
    </row>
    <row r="48">
      <c r="A48" s="92"/>
      <c r="B48" s="79"/>
      <c r="C48" s="79"/>
      <c r="D48" s="43"/>
      <c r="E48" s="87"/>
      <c r="F48" s="87"/>
      <c r="G48" s="76">
        <f>IFERROR(vlookup(E48,Data!$A$2:$B$4,2,0), 0) + IFERROR(vlookup(F48,Data!$A$2:$B$4,2,0), 0)</f>
        <v>0</v>
      </c>
      <c r="H48" s="79"/>
    </row>
    <row r="49">
      <c r="A49" s="92"/>
      <c r="B49" s="79"/>
      <c r="C49" s="79"/>
      <c r="D49" s="43"/>
      <c r="E49" s="87"/>
      <c r="F49" s="87"/>
      <c r="G49" s="76">
        <f>IFERROR(vlookup(E49,Data!$A$2:$B$4,2,0), 0) + IFERROR(vlookup(F49,Data!$A$2:$B$4,2,0), 0)</f>
        <v>0</v>
      </c>
      <c r="H49" s="79"/>
    </row>
    <row r="50">
      <c r="A50" s="92"/>
      <c r="B50" s="79"/>
      <c r="C50" s="79"/>
      <c r="D50" s="43"/>
      <c r="E50" s="87"/>
      <c r="F50" s="87"/>
      <c r="G50" s="76">
        <f>IFERROR(vlookup(E50,Data!$A$2:$B$4,2,0), 0) + IFERROR(vlookup(F50,Data!$A$2:$B$4,2,0), 0)</f>
        <v>0</v>
      </c>
      <c r="H50" s="79"/>
    </row>
    <row r="51">
      <c r="A51" s="92"/>
      <c r="B51" s="79"/>
      <c r="C51" s="79"/>
      <c r="D51" s="43"/>
      <c r="E51" s="87"/>
      <c r="F51" s="87"/>
      <c r="G51" s="76">
        <f>IFERROR(vlookup(E51,Data!$A$2:$B$4,2,0), 0) + IFERROR(vlookup(F51,Data!$A$2:$B$4,2,0), 0)</f>
        <v>0</v>
      </c>
      <c r="H51" s="79"/>
    </row>
    <row r="52">
      <c r="A52" s="92"/>
      <c r="B52" s="79"/>
      <c r="C52" s="79"/>
      <c r="D52" s="43"/>
      <c r="E52" s="87"/>
      <c r="F52" s="87"/>
      <c r="G52" s="76">
        <f>IFERROR(vlookup(E52,Data!$A$2:$B$4,2,0), 0) + IFERROR(vlookup(F52,Data!$A$2:$B$4,2,0), 0)</f>
        <v>0</v>
      </c>
      <c r="H52" s="79"/>
    </row>
    <row r="53">
      <c r="A53" s="92"/>
      <c r="B53" s="79"/>
      <c r="C53" s="79"/>
      <c r="D53" s="43"/>
      <c r="E53" s="87"/>
      <c r="F53" s="87"/>
      <c r="G53" s="76">
        <f>IFERROR(vlookup(E53,Data!$A$2:$B$4,2,0), 0) + IFERROR(vlookup(F53,Data!$A$2:$B$4,2,0), 0)</f>
        <v>0</v>
      </c>
      <c r="H53" s="79"/>
    </row>
    <row r="54">
      <c r="A54" s="92"/>
      <c r="B54" s="79"/>
      <c r="C54" s="79"/>
      <c r="D54" s="43"/>
      <c r="E54" s="87"/>
      <c r="F54" s="87"/>
      <c r="G54" s="76">
        <f>IFERROR(vlookup(E54,Data!$A$2:$B$4,2,0), 0) + IFERROR(vlookup(F54,Data!$A$2:$B$4,2,0), 0)</f>
        <v>0</v>
      </c>
      <c r="H54" s="79"/>
    </row>
    <row r="55">
      <c r="A55" s="92"/>
      <c r="B55" s="79"/>
      <c r="C55" s="79"/>
      <c r="D55" s="43"/>
      <c r="E55" s="87"/>
      <c r="F55" s="87"/>
      <c r="G55" s="76">
        <f>IFERROR(vlookup(E55,Data!$A$2:$B$4,2,0), 0) + IFERROR(vlookup(F55,Data!$A$2:$B$4,2,0), 0)</f>
        <v>0</v>
      </c>
      <c r="H55" s="79"/>
    </row>
    <row r="56">
      <c r="A56" s="92"/>
      <c r="B56" s="79"/>
      <c r="C56" s="79"/>
      <c r="D56" s="43"/>
      <c r="E56" s="87"/>
      <c r="F56" s="87"/>
      <c r="G56" s="76">
        <f>IFERROR(vlookup(E56,Data!$A$2:$B$4,2,0), 0) + IFERROR(vlookup(F56,Data!$A$2:$B$4,2,0), 0)</f>
        <v>0</v>
      </c>
      <c r="H56" s="79"/>
    </row>
    <row r="57">
      <c r="A57" s="92"/>
      <c r="B57" s="79"/>
      <c r="C57" s="79"/>
      <c r="D57" s="43"/>
      <c r="E57" s="87"/>
      <c r="F57" s="87"/>
      <c r="G57" s="76">
        <f>IFERROR(vlookup(E57,Data!$A$2:$B$4,2,0), 0) + IFERROR(vlookup(F57,Data!$A$2:$B$4,2,0), 0)</f>
        <v>0</v>
      </c>
      <c r="H57" s="79"/>
    </row>
    <row r="58">
      <c r="A58" s="92"/>
      <c r="B58" s="79"/>
      <c r="C58" s="79"/>
      <c r="D58" s="43"/>
      <c r="E58" s="87"/>
      <c r="F58" s="87"/>
      <c r="G58" s="76">
        <f>IFERROR(vlookup(E58,Data!$A$2:$B$4,2,0), 0) + IFERROR(vlookup(F58,Data!$A$2:$B$4,2,0), 0)</f>
        <v>0</v>
      </c>
      <c r="H58" s="79"/>
    </row>
    <row r="59">
      <c r="A59" s="92"/>
      <c r="B59" s="79"/>
      <c r="C59" s="79"/>
      <c r="D59" s="43"/>
      <c r="E59" s="87"/>
      <c r="F59" s="87"/>
      <c r="G59" s="76">
        <f>IFERROR(vlookup(E59,Data!$A$2:$B$4,2,0), 0) + IFERROR(vlookup(F59,Data!$A$2:$B$4,2,0), 0)</f>
        <v>0</v>
      </c>
      <c r="H59" s="79"/>
    </row>
    <row r="60">
      <c r="A60" s="92"/>
      <c r="B60" s="79"/>
      <c r="C60" s="79"/>
      <c r="D60" s="43"/>
      <c r="E60" s="87"/>
      <c r="F60" s="87"/>
      <c r="G60" s="76">
        <f>IFERROR(vlookup(E60,Data!$A$2:$B$4,2,0), 0) + IFERROR(vlookup(F60,Data!$A$2:$B$4,2,0), 0)</f>
        <v>0</v>
      </c>
      <c r="H60" s="79"/>
    </row>
    <row r="61">
      <c r="A61" s="92"/>
      <c r="B61" s="79"/>
      <c r="C61" s="79"/>
      <c r="D61" s="43"/>
      <c r="E61" s="87"/>
      <c r="F61" s="87"/>
      <c r="G61" s="76">
        <f>IFERROR(vlookup(E61,Data!$A$2:$B$4,2,0), 0) + IFERROR(vlookup(F61,Data!$A$2:$B$4,2,0), 0)</f>
        <v>0</v>
      </c>
      <c r="H61" s="79"/>
    </row>
    <row r="62">
      <c r="A62" s="92"/>
      <c r="B62" s="79"/>
      <c r="C62" s="79"/>
      <c r="D62" s="43"/>
      <c r="E62" s="87"/>
      <c r="F62" s="87"/>
      <c r="G62" s="76">
        <f>IFERROR(vlookup(E62,Data!$A$2:$B$4,2,0), 0) + IFERROR(vlookup(F62,Data!$A$2:$B$4,2,0), 0)</f>
        <v>0</v>
      </c>
      <c r="H62" s="79"/>
    </row>
    <row r="63">
      <c r="A63" s="92"/>
      <c r="B63" s="79"/>
      <c r="C63" s="79"/>
      <c r="D63" s="43"/>
      <c r="E63" s="87"/>
      <c r="F63" s="87"/>
      <c r="G63" s="76">
        <f>IFERROR(vlookup(E63,Data!$A$2:$B$4,2,0), 0) + IFERROR(vlookup(F63,Data!$A$2:$B$4,2,0), 0)</f>
        <v>0</v>
      </c>
      <c r="H63" s="79"/>
    </row>
    <row r="64">
      <c r="A64" s="92"/>
      <c r="B64" s="79"/>
      <c r="C64" s="79"/>
      <c r="D64" s="43"/>
      <c r="E64" s="87"/>
      <c r="F64" s="87"/>
      <c r="G64" s="76">
        <f>IFERROR(vlookup(E64,Data!$A$2:$B$4,2,0), 0) + IFERROR(vlookup(F64,Data!$A$2:$B$4,2,0), 0)</f>
        <v>0</v>
      </c>
      <c r="H64" s="79"/>
    </row>
    <row r="65">
      <c r="A65" s="92"/>
      <c r="B65" s="79"/>
      <c r="C65" s="79"/>
      <c r="D65" s="43"/>
      <c r="E65" s="87"/>
      <c r="F65" s="87"/>
      <c r="G65" s="76">
        <f>IFERROR(vlookup(E65,Data!$A$2:$B$4,2,0), 0) + IFERROR(vlookup(F65,Data!$A$2:$B$4,2,0), 0)</f>
        <v>0</v>
      </c>
      <c r="H65" s="79"/>
    </row>
    <row r="66">
      <c r="A66" s="92"/>
      <c r="B66" s="79"/>
      <c r="C66" s="79"/>
      <c r="D66" s="43"/>
      <c r="E66" s="87"/>
      <c r="F66" s="87"/>
      <c r="G66" s="76">
        <f>IFERROR(vlookup(E66,Data!$A$2:$B$4,2,0), 0) + IFERROR(vlookup(F66,Data!$A$2:$B$4,2,0), 0)</f>
        <v>0</v>
      </c>
      <c r="H66" s="79"/>
    </row>
    <row r="67">
      <c r="A67" s="92"/>
      <c r="B67" s="79"/>
      <c r="C67" s="79"/>
      <c r="D67" s="43"/>
      <c r="E67" s="87"/>
      <c r="F67" s="87"/>
      <c r="G67" s="76">
        <f>IFERROR(vlookup(E67,Data!$A$2:$B$4,2,0), 0) + IFERROR(vlookup(F67,Data!$A$2:$B$4,2,0), 0)</f>
        <v>0</v>
      </c>
      <c r="H67" s="79"/>
    </row>
    <row r="68">
      <c r="A68" s="92"/>
      <c r="B68" s="79"/>
      <c r="C68" s="79"/>
      <c r="D68" s="43"/>
      <c r="E68" s="87"/>
      <c r="F68" s="87"/>
      <c r="G68" s="76">
        <f>IFERROR(vlookup(E68,Data!$A$2:$B$4,2,0), 0) + IFERROR(vlookup(F68,Data!$A$2:$B$4,2,0), 0)</f>
        <v>0</v>
      </c>
      <c r="H68" s="79"/>
    </row>
    <row r="69">
      <c r="A69" s="92"/>
      <c r="B69" s="79"/>
      <c r="C69" s="79"/>
      <c r="D69" s="43"/>
      <c r="E69" s="87"/>
      <c r="F69" s="87"/>
      <c r="G69" s="76">
        <f>IFERROR(vlookup(E69,Data!$A$2:$B$4,2,0), 0) + IFERROR(vlookup(F69,Data!$A$2:$B$4,2,0), 0)</f>
        <v>0</v>
      </c>
      <c r="H69" s="79"/>
    </row>
    <row r="70">
      <c r="A70" s="92"/>
      <c r="B70" s="79"/>
      <c r="C70" s="79"/>
      <c r="D70" s="43"/>
      <c r="E70" s="87"/>
      <c r="F70" s="87"/>
      <c r="G70" s="76">
        <f>IFERROR(vlookup(E70,Data!$A$2:$B$4,2,0), 0) + IFERROR(vlookup(F70,Data!$A$2:$B$4,2,0), 0)</f>
        <v>0</v>
      </c>
      <c r="H70" s="79"/>
    </row>
    <row r="71">
      <c r="A71" s="92"/>
      <c r="B71" s="79"/>
      <c r="C71" s="79"/>
      <c r="D71" s="43"/>
      <c r="E71" s="87"/>
      <c r="F71" s="87"/>
      <c r="G71" s="76">
        <f>IFERROR(vlookup(E71,Data!$A$2:$B$4,2,0), 0) + IFERROR(vlookup(F71,Data!$A$2:$B$4,2,0), 0)</f>
        <v>0</v>
      </c>
      <c r="H71" s="79"/>
    </row>
    <row r="72">
      <c r="A72" s="92"/>
      <c r="B72" s="79"/>
      <c r="C72" s="79"/>
      <c r="D72" s="43"/>
      <c r="E72" s="87"/>
      <c r="F72" s="87"/>
      <c r="G72" s="76">
        <f>IFERROR(vlookup(E72,Data!$A$2:$B$4,2,0), 0) + IFERROR(vlookup(F72,Data!$A$2:$B$4,2,0), 0)</f>
        <v>0</v>
      </c>
      <c r="H72" s="79"/>
    </row>
    <row r="73">
      <c r="A73" s="92"/>
      <c r="B73" s="79"/>
      <c r="C73" s="79"/>
      <c r="D73" s="43"/>
      <c r="E73" s="87"/>
      <c r="F73" s="87"/>
      <c r="G73" s="76">
        <f>IFERROR(vlookup(E73,Data!$A$2:$B$4,2,0), 0) + IFERROR(vlookup(F73,Data!$A$2:$B$4,2,0), 0)</f>
        <v>0</v>
      </c>
      <c r="H73" s="79"/>
    </row>
    <row r="74">
      <c r="A74" s="92"/>
      <c r="B74" s="79"/>
      <c r="C74" s="79"/>
      <c r="D74" s="43"/>
      <c r="E74" s="87"/>
      <c r="F74" s="87"/>
      <c r="G74" s="76">
        <f>IFERROR(vlookup(E74,Data!$A$2:$B$4,2,0), 0) + IFERROR(vlookup(F74,Data!$A$2:$B$4,2,0), 0)</f>
        <v>0</v>
      </c>
      <c r="H74" s="79"/>
    </row>
    <row r="75">
      <c r="A75" s="92"/>
      <c r="B75" s="79"/>
      <c r="C75" s="79"/>
      <c r="D75" s="43"/>
      <c r="E75" s="87"/>
      <c r="F75" s="87"/>
      <c r="G75" s="76">
        <f>IFERROR(vlookup(E75,Data!$A$2:$B$4,2,0), 0) + IFERROR(vlookup(F75,Data!$A$2:$B$4,2,0), 0)</f>
        <v>0</v>
      </c>
      <c r="H75" s="79"/>
    </row>
    <row r="76">
      <c r="A76" s="92"/>
      <c r="B76" s="79"/>
      <c r="C76" s="79"/>
      <c r="D76" s="43"/>
      <c r="E76" s="87"/>
      <c r="F76" s="87"/>
      <c r="G76" s="76">
        <f>IFERROR(vlookup(E76,Data!$A$2:$B$4,2,0), 0) + IFERROR(vlookup(F76,Data!$A$2:$B$4,2,0), 0)</f>
        <v>0</v>
      </c>
      <c r="H76" s="79"/>
    </row>
    <row r="77">
      <c r="A77" s="92"/>
      <c r="B77" s="79"/>
      <c r="C77" s="79"/>
      <c r="D77" s="43"/>
      <c r="E77" s="87"/>
      <c r="F77" s="87"/>
      <c r="G77" s="76">
        <f>IFERROR(vlookup(E77,Data!$A$2:$B$4,2,0), 0) + IFERROR(vlookup(F77,Data!$A$2:$B$4,2,0), 0)</f>
        <v>0</v>
      </c>
      <c r="H77" s="79"/>
    </row>
    <row r="78">
      <c r="A78" s="92"/>
      <c r="B78" s="79"/>
      <c r="C78" s="79"/>
      <c r="D78" s="43"/>
      <c r="E78" s="87"/>
      <c r="F78" s="87"/>
      <c r="G78" s="76">
        <f>IFERROR(vlookup(E78,Data!$A$2:$B$4,2,0), 0) + IFERROR(vlookup(F78,Data!$A$2:$B$4,2,0), 0)</f>
        <v>0</v>
      </c>
      <c r="H78" s="79"/>
    </row>
    <row r="79">
      <c r="A79" s="92"/>
      <c r="B79" s="79"/>
      <c r="C79" s="79"/>
      <c r="D79" s="43"/>
      <c r="E79" s="87"/>
      <c r="F79" s="87"/>
      <c r="G79" s="76">
        <f>IFERROR(vlookup(E79,Data!$A$2:$B$4,2,0), 0) + IFERROR(vlookup(F79,Data!$A$2:$B$4,2,0), 0)</f>
        <v>0</v>
      </c>
      <c r="H79" s="79"/>
    </row>
    <row r="80">
      <c r="A80" s="92"/>
      <c r="B80" s="79"/>
      <c r="C80" s="79"/>
      <c r="D80" s="43"/>
      <c r="E80" s="87"/>
      <c r="F80" s="87"/>
      <c r="G80" s="76">
        <f>IFERROR(vlookup(E80,Data!$A$2:$B$4,2,0), 0) + IFERROR(vlookup(F80,Data!$A$2:$B$4,2,0), 0)</f>
        <v>0</v>
      </c>
      <c r="H80" s="79"/>
    </row>
    <row r="81">
      <c r="A81" s="92"/>
      <c r="B81" s="79"/>
      <c r="C81" s="79"/>
      <c r="D81" s="43"/>
      <c r="E81" s="87"/>
      <c r="F81" s="87"/>
      <c r="G81" s="76">
        <f>IFERROR(vlookup(E81,Data!$A$2:$B$4,2,0), 0) + IFERROR(vlookup(F81,Data!$A$2:$B$4,2,0), 0)</f>
        <v>0</v>
      </c>
      <c r="H81" s="79"/>
    </row>
    <row r="82">
      <c r="A82" s="92"/>
      <c r="B82" s="79"/>
      <c r="C82" s="79"/>
      <c r="D82" s="43"/>
      <c r="E82" s="87"/>
      <c r="F82" s="87"/>
      <c r="G82" s="76">
        <f>IFERROR(vlookup(E82,Data!$A$2:$B$4,2,0), 0) + IFERROR(vlookup(F82,Data!$A$2:$B$4,2,0), 0)</f>
        <v>0</v>
      </c>
      <c r="H82" s="79"/>
    </row>
    <row r="83">
      <c r="A83" s="92"/>
      <c r="B83" s="79"/>
      <c r="C83" s="79"/>
      <c r="D83" s="43"/>
      <c r="E83" s="87"/>
      <c r="F83" s="87"/>
      <c r="G83" s="76">
        <f>IFERROR(vlookup(E83,Data!$A$2:$B$4,2,0), 0) + IFERROR(vlookup(F83,Data!$A$2:$B$4,2,0), 0)</f>
        <v>0</v>
      </c>
      <c r="H83" s="79"/>
    </row>
    <row r="84">
      <c r="A84" s="92"/>
      <c r="B84" s="79"/>
      <c r="C84" s="79"/>
      <c r="D84" s="43"/>
      <c r="E84" s="87"/>
      <c r="F84" s="87"/>
      <c r="G84" s="76">
        <f>IFERROR(vlookup(E84,Data!$A$2:$B$4,2,0), 0) + IFERROR(vlookup(F84,Data!$A$2:$B$4,2,0), 0)</f>
        <v>0</v>
      </c>
      <c r="H84" s="79"/>
    </row>
    <row r="85">
      <c r="A85" s="92"/>
      <c r="B85" s="79"/>
      <c r="C85" s="79"/>
      <c r="D85" s="43"/>
      <c r="E85" s="87"/>
      <c r="F85" s="87"/>
      <c r="G85" s="76">
        <f>IFERROR(vlookup(E85,Data!$A$2:$B$4,2,0), 0) + IFERROR(vlookup(F85,Data!$A$2:$B$4,2,0), 0)</f>
        <v>0</v>
      </c>
      <c r="H85" s="79"/>
    </row>
    <row r="86">
      <c r="A86" s="92"/>
      <c r="B86" s="79"/>
      <c r="C86" s="79"/>
      <c r="D86" s="43"/>
      <c r="E86" s="87"/>
      <c r="F86" s="87"/>
      <c r="G86" s="76">
        <f>IFERROR(vlookup(E86,Data!$A$2:$B$4,2,0), 0) + IFERROR(vlookup(F86,Data!$A$2:$B$4,2,0), 0)</f>
        <v>0</v>
      </c>
      <c r="H86" s="79"/>
    </row>
    <row r="87">
      <c r="A87" s="92"/>
      <c r="B87" s="79"/>
      <c r="C87" s="79"/>
      <c r="D87" s="43"/>
      <c r="E87" s="87"/>
      <c r="F87" s="87"/>
      <c r="G87" s="76">
        <f>IFERROR(vlookup(E87,Data!$A$2:$B$4,2,0), 0) + IFERROR(vlookup(F87,Data!$A$2:$B$4,2,0), 0)</f>
        <v>0</v>
      </c>
      <c r="H87" s="79"/>
    </row>
    <row r="88">
      <c r="A88" s="92"/>
      <c r="B88" s="79"/>
      <c r="C88" s="79"/>
      <c r="D88" s="43"/>
      <c r="E88" s="87"/>
      <c r="F88" s="87"/>
      <c r="G88" s="76">
        <f>IFERROR(vlookup(E88,Data!$A$2:$B$4,2,0), 0) + IFERROR(vlookup(F88,Data!$A$2:$B$4,2,0), 0)</f>
        <v>0</v>
      </c>
      <c r="H88" s="79"/>
    </row>
    <row r="89">
      <c r="A89" s="92"/>
      <c r="B89" s="79"/>
      <c r="C89" s="79"/>
      <c r="D89" s="43"/>
      <c r="E89" s="87"/>
      <c r="F89" s="87"/>
      <c r="G89" s="76">
        <f>IFERROR(vlookup(E89,Data!$A$2:$B$4,2,0), 0) + IFERROR(vlookup(F89,Data!$A$2:$B$4,2,0), 0)</f>
        <v>0</v>
      </c>
      <c r="H89" s="79"/>
    </row>
    <row r="90">
      <c r="A90" s="92"/>
      <c r="B90" s="79"/>
      <c r="C90" s="79"/>
      <c r="D90" s="43"/>
      <c r="E90" s="87"/>
      <c r="F90" s="87"/>
      <c r="G90" s="76">
        <f>IFERROR(vlookup(E90,Data!$A$2:$B$4,2,0), 0) + IFERROR(vlookup(F90,Data!$A$2:$B$4,2,0), 0)</f>
        <v>0</v>
      </c>
      <c r="H90" s="79"/>
    </row>
    <row r="91">
      <c r="A91" s="92"/>
      <c r="B91" s="79"/>
      <c r="C91" s="79"/>
      <c r="D91" s="43"/>
      <c r="E91" s="87"/>
      <c r="F91" s="87"/>
      <c r="G91" s="76">
        <f>IFERROR(vlookup(E91,Data!$A$2:$B$4,2,0), 0) + IFERROR(vlookup(F91,Data!$A$2:$B$4,2,0), 0)</f>
        <v>0</v>
      </c>
      <c r="H91" s="79"/>
    </row>
    <row r="92">
      <c r="A92" s="92"/>
      <c r="B92" s="79"/>
      <c r="C92" s="79"/>
      <c r="D92" s="43"/>
      <c r="E92" s="87"/>
      <c r="F92" s="87"/>
      <c r="G92" s="76">
        <f>IFERROR(vlookup(E92,Data!$A$2:$B$4,2,0), 0) + IFERROR(vlookup(F92,Data!$A$2:$B$4,2,0), 0)</f>
        <v>0</v>
      </c>
      <c r="H92" s="79"/>
    </row>
    <row r="93">
      <c r="A93" s="92"/>
      <c r="B93" s="79"/>
      <c r="C93" s="79"/>
      <c r="D93" s="43"/>
      <c r="E93" s="87"/>
      <c r="F93" s="87"/>
      <c r="G93" s="76">
        <f>IFERROR(vlookup(E93,Data!$A$2:$B$4,2,0), 0) + IFERROR(vlookup(F93,Data!$A$2:$B$4,2,0), 0)</f>
        <v>0</v>
      </c>
      <c r="H93" s="79"/>
    </row>
    <row r="94">
      <c r="A94" s="92"/>
      <c r="B94" s="79"/>
      <c r="C94" s="79"/>
      <c r="D94" s="43"/>
      <c r="E94" s="87"/>
      <c r="F94" s="87"/>
      <c r="G94" s="76">
        <f>IFERROR(vlookup(E94,Data!$A$2:$B$4,2,0), 0) + IFERROR(vlookup(F94,Data!$A$2:$B$4,2,0), 0)</f>
        <v>0</v>
      </c>
      <c r="H94" s="79"/>
    </row>
    <row r="95">
      <c r="A95" s="92"/>
      <c r="B95" s="79"/>
      <c r="C95" s="79"/>
      <c r="D95" s="43"/>
      <c r="E95" s="87"/>
      <c r="F95" s="87"/>
      <c r="G95" s="76">
        <f>IFERROR(vlookup(E95,Data!$A$2:$B$4,2,0), 0) + IFERROR(vlookup(F95,Data!$A$2:$B$4,2,0), 0)</f>
        <v>0</v>
      </c>
      <c r="H95" s="79"/>
    </row>
    <row r="96">
      <c r="A96" s="92"/>
      <c r="B96" s="79"/>
      <c r="C96" s="79"/>
      <c r="D96" s="43"/>
      <c r="E96" s="87"/>
      <c r="F96" s="87"/>
      <c r="G96" s="76">
        <f>IFERROR(vlookup(E96,Data!$A$2:$B$4,2,0), 0) + IFERROR(vlookup(F96,Data!$A$2:$B$4,2,0), 0)</f>
        <v>0</v>
      </c>
      <c r="H96" s="79"/>
    </row>
    <row r="97">
      <c r="A97" s="92"/>
      <c r="B97" s="79"/>
      <c r="C97" s="79"/>
      <c r="D97" s="43"/>
      <c r="E97" s="87"/>
      <c r="F97" s="87"/>
      <c r="G97" s="76">
        <f>IFERROR(vlookup(E97,Data!$A$2:$B$4,2,0), 0) + IFERROR(vlookup(F97,Data!$A$2:$B$4,2,0), 0)</f>
        <v>0</v>
      </c>
      <c r="H97" s="79"/>
    </row>
    <row r="98">
      <c r="A98" s="92"/>
      <c r="B98" s="79"/>
      <c r="C98" s="79"/>
      <c r="D98" s="43"/>
      <c r="E98" s="87"/>
      <c r="F98" s="87"/>
      <c r="G98" s="76">
        <f>IFERROR(vlookup(E98,Data!$A$2:$B$4,2,0), 0) + IFERROR(vlookup(F98,Data!$A$2:$B$4,2,0), 0)</f>
        <v>0</v>
      </c>
      <c r="H98" s="79"/>
    </row>
    <row r="99">
      <c r="A99" s="92"/>
      <c r="B99" s="79"/>
      <c r="C99" s="79"/>
      <c r="D99" s="43"/>
      <c r="E99" s="87"/>
      <c r="F99" s="87"/>
      <c r="G99" s="76">
        <f>IFERROR(vlookup(E99,Data!$A$2:$B$4,2,0), 0) + IFERROR(vlookup(F99,Data!$A$2:$B$4,2,0), 0)</f>
        <v>0</v>
      </c>
      <c r="H99" s="79"/>
    </row>
    <row r="100">
      <c r="A100" s="92"/>
      <c r="B100" s="79"/>
      <c r="C100" s="79"/>
      <c r="D100" s="43"/>
      <c r="E100" s="87"/>
      <c r="F100" s="87"/>
      <c r="G100" s="76">
        <f>IFERROR(vlookup(E100,Data!$A$2:$B$4,2,0), 0) + IFERROR(vlookup(F100,Data!$A$2:$B$4,2,0), 0)</f>
        <v>0</v>
      </c>
      <c r="H100" s="79"/>
    </row>
    <row r="101">
      <c r="A101" s="92"/>
      <c r="B101" s="79"/>
      <c r="C101" s="79"/>
      <c r="D101" s="43"/>
      <c r="E101" s="87"/>
      <c r="F101" s="87"/>
      <c r="G101" s="76">
        <f>IFERROR(vlookup(E101,Data!$A$2:$B$4,2,0), 0) + IFERROR(vlookup(F101,Data!$A$2:$B$4,2,0), 0)</f>
        <v>0</v>
      </c>
      <c r="H101" s="79"/>
    </row>
    <row r="102">
      <c r="A102" s="92"/>
      <c r="B102" s="79"/>
      <c r="C102" s="79"/>
      <c r="D102" s="43"/>
      <c r="E102" s="87"/>
      <c r="F102" s="87"/>
      <c r="G102" s="76">
        <f>IFERROR(vlookup(E102,Data!$A$2:$B$4,2,0), 0) + IFERROR(vlookup(F102,Data!$A$2:$B$4,2,0), 0)</f>
        <v>0</v>
      </c>
      <c r="H102" s="79"/>
    </row>
    <row r="103">
      <c r="A103" s="92"/>
      <c r="B103" s="79"/>
      <c r="C103" s="79"/>
      <c r="D103" s="43"/>
      <c r="E103" s="87"/>
      <c r="F103" s="87"/>
      <c r="G103" s="76">
        <f>IFERROR(vlookup(E103,Data!$A$2:$B$4,2,0), 0) + IFERROR(vlookup(F103,Data!$A$2:$B$4,2,0), 0)</f>
        <v>0</v>
      </c>
      <c r="H103" s="79"/>
    </row>
    <row r="104">
      <c r="A104" s="92"/>
      <c r="B104" s="79"/>
      <c r="C104" s="79"/>
      <c r="D104" s="43"/>
      <c r="E104" s="87"/>
      <c r="F104" s="87"/>
      <c r="G104" s="76">
        <f>IFERROR(vlookup(E104,Data!$A$2:$B$4,2,0), 0) + IFERROR(vlookup(F104,Data!$A$2:$B$4,2,0), 0)</f>
        <v>0</v>
      </c>
      <c r="H104" s="79"/>
    </row>
    <row r="105">
      <c r="A105" s="92"/>
      <c r="B105" s="79"/>
      <c r="C105" s="79"/>
      <c r="D105" s="43"/>
      <c r="E105" s="87"/>
      <c r="F105" s="87"/>
      <c r="G105" s="76">
        <f>IFERROR(vlookup(E105,Data!$A$2:$B$4,2,0), 0) + IFERROR(vlookup(F105,Data!$A$2:$B$4,2,0), 0)</f>
        <v>0</v>
      </c>
      <c r="H105" s="79"/>
    </row>
    <row r="106">
      <c r="A106" s="92"/>
      <c r="B106" s="79"/>
      <c r="C106" s="79"/>
      <c r="D106" s="43"/>
      <c r="E106" s="87"/>
      <c r="F106" s="87"/>
      <c r="G106" s="76">
        <f>IFERROR(vlookup(E106,Data!$A$2:$B$4,2,0), 0) + IFERROR(vlookup(F106,Data!$A$2:$B$4,2,0), 0)</f>
        <v>0</v>
      </c>
      <c r="H106" s="79"/>
    </row>
    <row r="107">
      <c r="A107" s="92"/>
      <c r="B107" s="79"/>
      <c r="C107" s="79"/>
      <c r="D107" s="43"/>
      <c r="E107" s="87"/>
      <c r="F107" s="87"/>
      <c r="G107" s="76">
        <f>IFERROR(vlookup(E107,Data!$A$2:$B$4,2,0), 0) + IFERROR(vlookup(F107,Data!$A$2:$B$4,2,0), 0)</f>
        <v>0</v>
      </c>
      <c r="H107" s="79"/>
    </row>
    <row r="108">
      <c r="A108" s="92"/>
      <c r="B108" s="79"/>
      <c r="C108" s="79"/>
      <c r="D108" s="43"/>
      <c r="E108" s="87"/>
      <c r="F108" s="87"/>
      <c r="G108" s="76">
        <f>IFERROR(vlookup(E108,Data!$A$2:$B$4,2,0), 0) + IFERROR(vlookup(F108,Data!$A$2:$B$4,2,0), 0)</f>
        <v>0</v>
      </c>
      <c r="H108" s="79"/>
    </row>
    <row r="109">
      <c r="A109" s="92"/>
      <c r="B109" s="79"/>
      <c r="C109" s="79"/>
      <c r="D109" s="43"/>
      <c r="E109" s="87"/>
      <c r="F109" s="87"/>
      <c r="G109" s="76">
        <f>IFERROR(vlookup(E109,Data!$A$2:$B$4,2,0), 0) + IFERROR(vlookup(F109,Data!$A$2:$B$4,2,0), 0)</f>
        <v>0</v>
      </c>
      <c r="H109" s="79"/>
    </row>
    <row r="110">
      <c r="A110" s="92"/>
      <c r="B110" s="79"/>
      <c r="C110" s="79"/>
      <c r="D110" s="43"/>
      <c r="E110" s="87"/>
      <c r="F110" s="87"/>
      <c r="G110" s="76">
        <f>IFERROR(vlookup(E110,Data!$A$2:$B$4,2,0), 0) + IFERROR(vlookup(F110,Data!$A$2:$B$4,2,0), 0)</f>
        <v>0</v>
      </c>
      <c r="H110" s="79"/>
    </row>
    <row r="111">
      <c r="A111" s="92"/>
      <c r="B111" s="79"/>
      <c r="C111" s="79"/>
      <c r="D111" s="43"/>
      <c r="E111" s="87"/>
      <c r="F111" s="87"/>
      <c r="G111" s="76">
        <f>IFERROR(vlookup(E111,Data!$A$2:$B$4,2,0), 0) + IFERROR(vlookup(F111,Data!$A$2:$B$4,2,0), 0)</f>
        <v>0</v>
      </c>
      <c r="H111" s="79"/>
    </row>
    <row r="112">
      <c r="A112" s="92"/>
      <c r="B112" s="79"/>
      <c r="C112" s="79"/>
      <c r="D112" s="43"/>
      <c r="E112" s="87"/>
      <c r="F112" s="87"/>
      <c r="G112" s="76">
        <f>IFERROR(vlookup(E112,Data!$A$2:$B$4,2,0), 0) + IFERROR(vlookup(F112,Data!$A$2:$B$4,2,0), 0)</f>
        <v>0</v>
      </c>
      <c r="H112" s="79"/>
    </row>
    <row r="113">
      <c r="A113" s="92"/>
      <c r="B113" s="79"/>
      <c r="C113" s="79"/>
      <c r="D113" s="43"/>
      <c r="E113" s="87"/>
      <c r="F113" s="87"/>
      <c r="G113" s="76">
        <f>IFERROR(vlookup(E113,Data!$A$2:$B$4,2,0), 0) + IFERROR(vlookup(F113,Data!$A$2:$B$4,2,0), 0)</f>
        <v>0</v>
      </c>
      <c r="H113" s="79"/>
    </row>
    <row r="114">
      <c r="A114" s="92"/>
      <c r="B114" s="79"/>
      <c r="C114" s="79"/>
      <c r="D114" s="43"/>
      <c r="E114" s="87"/>
      <c r="F114" s="87"/>
      <c r="G114" s="76">
        <f>IFERROR(vlookup(E114,Data!$A$2:$B$4,2,0), 0) + IFERROR(vlookup(F114,Data!$A$2:$B$4,2,0), 0)</f>
        <v>0</v>
      </c>
      <c r="H114" s="79"/>
    </row>
    <row r="115">
      <c r="A115" s="92"/>
      <c r="B115" s="79"/>
      <c r="C115" s="79"/>
      <c r="D115" s="43"/>
      <c r="E115" s="87"/>
      <c r="F115" s="87"/>
      <c r="G115" s="76">
        <f>IFERROR(vlookup(E115,Data!$A$2:$B$4,2,0), 0) + IFERROR(vlookup(F115,Data!$A$2:$B$4,2,0), 0)</f>
        <v>0</v>
      </c>
      <c r="H115" s="79"/>
    </row>
    <row r="116">
      <c r="A116" s="92"/>
      <c r="B116" s="79"/>
      <c r="C116" s="79"/>
      <c r="D116" s="43"/>
      <c r="E116" s="87"/>
      <c r="F116" s="87"/>
      <c r="G116" s="76">
        <f>IFERROR(vlookup(E116,Data!$A$2:$B$4,2,0), 0) + IFERROR(vlookup(F116,Data!$A$2:$B$4,2,0), 0)</f>
        <v>0</v>
      </c>
      <c r="H116" s="79"/>
    </row>
    <row r="117">
      <c r="A117" s="92"/>
      <c r="B117" s="79"/>
      <c r="C117" s="79"/>
      <c r="D117" s="43"/>
      <c r="E117" s="87"/>
      <c r="F117" s="87"/>
      <c r="G117" s="76">
        <f>IFERROR(vlookup(E117,Data!$A$2:$B$4,2,0), 0) + IFERROR(vlookup(F117,Data!$A$2:$B$4,2,0), 0)</f>
        <v>0</v>
      </c>
      <c r="H117" s="79"/>
    </row>
    <row r="118">
      <c r="A118" s="92"/>
      <c r="B118" s="79"/>
      <c r="C118" s="79"/>
      <c r="D118" s="43"/>
      <c r="E118" s="87"/>
      <c r="F118" s="87"/>
      <c r="G118" s="76">
        <f>IFERROR(vlookup(E118,Data!$A$2:$B$4,2,0), 0) + IFERROR(vlookup(F118,Data!$A$2:$B$4,2,0), 0)</f>
        <v>0</v>
      </c>
      <c r="H118" s="79"/>
    </row>
    <row r="119">
      <c r="A119" s="92"/>
      <c r="B119" s="79"/>
      <c r="C119" s="79"/>
      <c r="D119" s="43"/>
      <c r="E119" s="87"/>
      <c r="F119" s="87"/>
      <c r="G119" s="76">
        <f>IFERROR(vlookup(E119,Data!$A$2:$B$4,2,0), 0) + IFERROR(vlookup(F119,Data!$A$2:$B$4,2,0), 0)</f>
        <v>0</v>
      </c>
      <c r="H119" s="79"/>
    </row>
    <row r="120">
      <c r="A120" s="92"/>
      <c r="B120" s="79"/>
      <c r="C120" s="79"/>
      <c r="D120" s="43"/>
      <c r="E120" s="87"/>
      <c r="F120" s="87"/>
      <c r="G120" s="76">
        <f>IFERROR(vlookup(E120,Data!$A$2:$B$4,2,0), 0) + IFERROR(vlookup(F120,Data!$A$2:$B$4,2,0), 0)</f>
        <v>0</v>
      </c>
      <c r="H120" s="79"/>
    </row>
    <row r="121">
      <c r="A121" s="92"/>
      <c r="B121" s="79"/>
      <c r="C121" s="79"/>
      <c r="D121" s="43"/>
      <c r="E121" s="87"/>
      <c r="F121" s="87"/>
      <c r="G121" s="76">
        <f>IFERROR(vlookup(E121,Data!$A$2:$B$4,2,0), 0) + IFERROR(vlookup(F121,Data!$A$2:$B$4,2,0), 0)</f>
        <v>0</v>
      </c>
      <c r="H121" s="79"/>
    </row>
    <row r="122">
      <c r="A122" s="92"/>
      <c r="B122" s="79"/>
      <c r="C122" s="79"/>
      <c r="D122" s="43"/>
      <c r="E122" s="87"/>
      <c r="F122" s="87"/>
      <c r="G122" s="76">
        <f>IFERROR(vlookup(E122,Data!$A$2:$B$4,2,0), 0) + IFERROR(vlookup(F122,Data!$A$2:$B$4,2,0), 0)</f>
        <v>0</v>
      </c>
      <c r="H122" s="79"/>
    </row>
    <row r="123">
      <c r="A123" s="92"/>
      <c r="B123" s="79"/>
      <c r="C123" s="79"/>
      <c r="D123" s="43"/>
      <c r="E123" s="87"/>
      <c r="F123" s="87"/>
      <c r="G123" s="76">
        <f>IFERROR(vlookup(E123,Data!$A$2:$B$4,2,0), 0) + IFERROR(vlookup(F123,Data!$A$2:$B$4,2,0), 0)</f>
        <v>0</v>
      </c>
      <c r="H123" s="79"/>
    </row>
    <row r="124">
      <c r="A124" s="92"/>
      <c r="B124" s="79"/>
      <c r="C124" s="79"/>
      <c r="D124" s="43"/>
      <c r="E124" s="87"/>
      <c r="F124" s="87"/>
      <c r="G124" s="76">
        <f>IFERROR(vlookup(E124,Data!$A$2:$B$4,2,0), 0) + IFERROR(vlookup(F124,Data!$A$2:$B$4,2,0), 0)</f>
        <v>0</v>
      </c>
      <c r="H124" s="79"/>
    </row>
    <row r="125">
      <c r="A125" s="92"/>
      <c r="B125" s="79"/>
      <c r="C125" s="79"/>
      <c r="D125" s="43"/>
      <c r="E125" s="87"/>
      <c r="F125" s="87"/>
      <c r="G125" s="76">
        <f>IFERROR(vlookup(E125,Data!$A$2:$B$4,2,0), 0) + IFERROR(vlookup(F125,Data!$A$2:$B$4,2,0), 0)</f>
        <v>0</v>
      </c>
      <c r="H125" s="79"/>
    </row>
    <row r="126">
      <c r="A126" s="92"/>
      <c r="B126" s="79"/>
      <c r="C126" s="79"/>
      <c r="D126" s="43"/>
      <c r="E126" s="87"/>
      <c r="F126" s="87"/>
      <c r="G126" s="76">
        <f>IFERROR(vlookup(E126,Data!$A$2:$B$4,2,0), 0) + IFERROR(vlookup(F126,Data!$A$2:$B$4,2,0), 0)</f>
        <v>0</v>
      </c>
      <c r="H126" s="79"/>
    </row>
    <row r="127">
      <c r="A127" s="92"/>
      <c r="B127" s="79"/>
      <c r="C127" s="79"/>
      <c r="D127" s="43"/>
      <c r="E127" s="87"/>
      <c r="F127" s="87"/>
      <c r="G127" s="76">
        <f>IFERROR(vlookup(E127,Data!$A$2:$B$4,2,0), 0) + IFERROR(vlookup(F127,Data!$A$2:$B$4,2,0), 0)</f>
        <v>0</v>
      </c>
      <c r="H127" s="79"/>
    </row>
    <row r="128">
      <c r="A128" s="92"/>
      <c r="B128" s="79"/>
      <c r="C128" s="79"/>
      <c r="D128" s="43"/>
      <c r="E128" s="87"/>
      <c r="F128" s="87"/>
      <c r="G128" s="76">
        <f>IFERROR(vlookup(E128,Data!$A$2:$B$4,2,0), 0) + IFERROR(vlookup(F128,Data!$A$2:$B$4,2,0), 0)</f>
        <v>0</v>
      </c>
      <c r="H128" s="79"/>
    </row>
    <row r="129">
      <c r="A129" s="92"/>
      <c r="B129" s="79"/>
      <c r="C129" s="79"/>
      <c r="D129" s="43"/>
      <c r="E129" s="87"/>
      <c r="F129" s="87"/>
      <c r="G129" s="76">
        <f>IFERROR(vlookup(E129,Data!$A$2:$B$4,2,0), 0) + IFERROR(vlookup(F129,Data!$A$2:$B$4,2,0), 0)</f>
        <v>0</v>
      </c>
      <c r="H129" s="79"/>
    </row>
    <row r="130">
      <c r="A130" s="92"/>
      <c r="B130" s="79"/>
      <c r="C130" s="79"/>
      <c r="D130" s="43"/>
      <c r="E130" s="87"/>
      <c r="F130" s="87"/>
      <c r="G130" s="76">
        <f>IFERROR(vlookup(E130,Data!$A$2:$B$4,2,0), 0) + IFERROR(vlookup(F130,Data!$A$2:$B$4,2,0), 0)</f>
        <v>0</v>
      </c>
      <c r="H130" s="79"/>
    </row>
    <row r="131">
      <c r="A131" s="92"/>
      <c r="B131" s="79"/>
      <c r="C131" s="79"/>
      <c r="D131" s="43"/>
      <c r="E131" s="87"/>
      <c r="F131" s="87"/>
      <c r="G131" s="76">
        <f>IFERROR(vlookup(E131,Data!$A$2:$B$4,2,0), 0) + IFERROR(vlookup(F131,Data!$A$2:$B$4,2,0), 0)</f>
        <v>0</v>
      </c>
      <c r="H131" s="79"/>
    </row>
    <row r="132">
      <c r="A132" s="92"/>
      <c r="B132" s="79"/>
      <c r="C132" s="79"/>
      <c r="D132" s="43"/>
      <c r="E132" s="87"/>
      <c r="F132" s="87"/>
      <c r="G132" s="76">
        <f>IFERROR(vlookup(E132,Data!$A$2:$B$4,2,0), 0) + IFERROR(vlookup(F132,Data!$A$2:$B$4,2,0), 0)</f>
        <v>0</v>
      </c>
      <c r="H132" s="79"/>
    </row>
    <row r="133">
      <c r="A133" s="92"/>
      <c r="B133" s="79"/>
      <c r="C133" s="79"/>
      <c r="D133" s="43"/>
      <c r="E133" s="87"/>
      <c r="F133" s="87"/>
      <c r="G133" s="76">
        <f>IFERROR(vlookup(E133,Data!$A$2:$B$4,2,0), 0) + IFERROR(vlookup(F133,Data!$A$2:$B$4,2,0), 0)</f>
        <v>0</v>
      </c>
      <c r="H133" s="79"/>
    </row>
    <row r="134">
      <c r="A134" s="92"/>
      <c r="B134" s="79"/>
      <c r="C134" s="79"/>
      <c r="D134" s="43"/>
      <c r="E134" s="87"/>
      <c r="F134" s="87"/>
      <c r="G134" s="76">
        <f>IFERROR(vlookup(E134,Data!$A$2:$B$4,2,0), 0) + IFERROR(vlookup(F134,Data!$A$2:$B$4,2,0), 0)</f>
        <v>0</v>
      </c>
      <c r="H134" s="79"/>
    </row>
    <row r="135">
      <c r="A135" s="92"/>
      <c r="B135" s="79"/>
      <c r="C135" s="79"/>
      <c r="D135" s="43"/>
      <c r="E135" s="87"/>
      <c r="F135" s="87"/>
      <c r="G135" s="76">
        <f>IFERROR(vlookup(E135,Data!$A$2:$B$4,2,0), 0) + IFERROR(vlookup(F135,Data!$A$2:$B$4,2,0), 0)</f>
        <v>0</v>
      </c>
      <c r="H135" s="79"/>
    </row>
    <row r="136">
      <c r="A136" s="92"/>
      <c r="B136" s="79"/>
      <c r="C136" s="79"/>
      <c r="D136" s="43"/>
      <c r="E136" s="87"/>
      <c r="F136" s="87"/>
      <c r="G136" s="76">
        <f>IFERROR(vlookup(E136,Data!$A$2:$B$4,2,0), 0) + IFERROR(vlookup(F136,Data!$A$2:$B$4,2,0), 0)</f>
        <v>0</v>
      </c>
      <c r="H136" s="79"/>
    </row>
    <row r="137">
      <c r="A137" s="92"/>
      <c r="B137" s="79"/>
      <c r="C137" s="79"/>
      <c r="D137" s="43"/>
      <c r="E137" s="87"/>
      <c r="F137" s="87"/>
      <c r="G137" s="76">
        <f>IFERROR(vlookup(E137,Data!$A$2:$B$4,2,0), 0) + IFERROR(vlookup(F137,Data!$A$2:$B$4,2,0), 0)</f>
        <v>0</v>
      </c>
      <c r="H137" s="79"/>
    </row>
    <row r="138">
      <c r="A138" s="92"/>
      <c r="B138" s="79"/>
      <c r="C138" s="79"/>
      <c r="D138" s="43"/>
      <c r="E138" s="87"/>
      <c r="F138" s="87"/>
      <c r="G138" s="76">
        <f>IFERROR(vlookup(E138,Data!$A$2:$B$4,2,0), 0) + IFERROR(vlookup(F138,Data!$A$2:$B$4,2,0), 0)</f>
        <v>0</v>
      </c>
      <c r="H138" s="79"/>
    </row>
    <row r="139">
      <c r="A139" s="92"/>
      <c r="B139" s="79"/>
      <c r="C139" s="79"/>
      <c r="D139" s="43"/>
      <c r="E139" s="87"/>
      <c r="F139" s="87"/>
      <c r="G139" s="76">
        <f>IFERROR(vlookup(E139,Data!$A$2:$B$4,2,0), 0) + IFERROR(vlookup(F139,Data!$A$2:$B$4,2,0), 0)</f>
        <v>0</v>
      </c>
      <c r="H139" s="79"/>
    </row>
    <row r="140">
      <c r="A140" s="92"/>
      <c r="B140" s="79"/>
      <c r="C140" s="79"/>
      <c r="D140" s="43"/>
      <c r="E140" s="87"/>
      <c r="F140" s="87"/>
      <c r="G140" s="76">
        <f>IFERROR(vlookup(E140,Data!$A$2:$B$4,2,0), 0) + IFERROR(vlookup(F140,Data!$A$2:$B$4,2,0), 0)</f>
        <v>0</v>
      </c>
      <c r="H140" s="79"/>
    </row>
    <row r="141">
      <c r="A141" s="92"/>
      <c r="B141" s="79"/>
      <c r="C141" s="79"/>
      <c r="D141" s="43"/>
      <c r="E141" s="87"/>
      <c r="F141" s="87"/>
      <c r="G141" s="76">
        <f>IFERROR(vlookup(E141,Data!$A$2:$B$4,2,0), 0) + IFERROR(vlookup(F141,Data!$A$2:$B$4,2,0), 0)</f>
        <v>0</v>
      </c>
      <c r="H141" s="79"/>
    </row>
    <row r="142">
      <c r="A142" s="92"/>
      <c r="B142" s="79"/>
      <c r="C142" s="79"/>
      <c r="D142" s="43"/>
      <c r="E142" s="87"/>
      <c r="F142" s="87"/>
      <c r="G142" s="76">
        <f>IFERROR(vlookup(E142,Data!$A$2:$B$4,2,0), 0) + IFERROR(vlookup(F142,Data!$A$2:$B$4,2,0), 0)</f>
        <v>0</v>
      </c>
      <c r="H142" s="79"/>
    </row>
    <row r="143">
      <c r="A143" s="92"/>
      <c r="B143" s="79"/>
      <c r="C143" s="79"/>
      <c r="D143" s="43"/>
      <c r="E143" s="87"/>
      <c r="F143" s="87"/>
      <c r="G143" s="76">
        <f>IFERROR(vlookup(E143,Data!$A$2:$B$4,2,0), 0) + IFERROR(vlookup(F143,Data!$A$2:$B$4,2,0), 0)</f>
        <v>0</v>
      </c>
      <c r="H143" s="79"/>
    </row>
    <row r="144">
      <c r="A144" s="92"/>
      <c r="B144" s="79"/>
      <c r="C144" s="79"/>
      <c r="D144" s="43"/>
      <c r="E144" s="87"/>
      <c r="F144" s="87"/>
      <c r="G144" s="76">
        <f>IFERROR(vlookup(E144,Data!$A$2:$B$4,2,0), 0) + IFERROR(vlookup(F144,Data!$A$2:$B$4,2,0), 0)</f>
        <v>0</v>
      </c>
      <c r="H144" s="79"/>
    </row>
    <row r="145">
      <c r="A145" s="92"/>
      <c r="B145" s="79"/>
      <c r="C145" s="79"/>
      <c r="D145" s="43"/>
      <c r="E145" s="87"/>
      <c r="F145" s="87"/>
      <c r="G145" s="76">
        <f>IFERROR(vlookup(E145,Data!$A$2:$B$4,2,0), 0) + IFERROR(vlookup(F145,Data!$A$2:$B$4,2,0), 0)</f>
        <v>0</v>
      </c>
      <c r="H145" s="79"/>
    </row>
    <row r="146">
      <c r="A146" s="92"/>
      <c r="B146" s="79"/>
      <c r="C146" s="79"/>
      <c r="D146" s="43"/>
      <c r="E146" s="87"/>
      <c r="F146" s="87"/>
      <c r="G146" s="76">
        <f>IFERROR(vlookup(E146,Data!$A$2:$B$4,2,0), 0) + IFERROR(vlookup(F146,Data!$A$2:$B$4,2,0), 0)</f>
        <v>0</v>
      </c>
      <c r="H146" s="79"/>
    </row>
    <row r="147">
      <c r="A147" s="92"/>
      <c r="B147" s="79"/>
      <c r="C147" s="79"/>
      <c r="D147" s="43"/>
      <c r="E147" s="87"/>
      <c r="F147" s="87"/>
      <c r="G147" s="76">
        <f>IFERROR(vlookup(E147,Data!$A$2:$B$4,2,0), 0) + IFERROR(vlookup(F147,Data!$A$2:$B$4,2,0), 0)</f>
        <v>0</v>
      </c>
      <c r="H147" s="79"/>
    </row>
    <row r="148">
      <c r="A148" s="92"/>
      <c r="B148" s="79"/>
      <c r="C148" s="79"/>
      <c r="D148" s="43"/>
      <c r="E148" s="87"/>
      <c r="F148" s="87"/>
      <c r="G148" s="76">
        <f>IFERROR(vlookup(E148,Data!$A$2:$B$4,2,0), 0) + IFERROR(vlookup(F148,Data!$A$2:$B$4,2,0), 0)</f>
        <v>0</v>
      </c>
      <c r="H148" s="79"/>
    </row>
    <row r="149">
      <c r="A149" s="92"/>
      <c r="B149" s="79"/>
      <c r="C149" s="79"/>
      <c r="D149" s="43"/>
      <c r="E149" s="87"/>
      <c r="F149" s="87"/>
      <c r="G149" s="76">
        <f>IFERROR(vlookup(E149,Data!$A$2:$B$4,2,0), 0) + IFERROR(vlookup(F149,Data!$A$2:$B$4,2,0), 0)</f>
        <v>0</v>
      </c>
      <c r="H149" s="79"/>
    </row>
    <row r="150">
      <c r="A150" s="92"/>
      <c r="B150" s="79"/>
      <c r="C150" s="79"/>
      <c r="D150" s="43"/>
      <c r="E150" s="87"/>
      <c r="F150" s="87"/>
      <c r="G150" s="76">
        <f>IFERROR(vlookup(E150,Data!$A$2:$B$4,2,0), 0) + IFERROR(vlookup(F150,Data!$A$2:$B$4,2,0), 0)</f>
        <v>0</v>
      </c>
      <c r="H150" s="79"/>
    </row>
    <row r="151">
      <c r="A151" s="92"/>
      <c r="B151" s="79"/>
      <c r="C151" s="79"/>
      <c r="D151" s="43"/>
      <c r="E151" s="87"/>
      <c r="F151" s="87"/>
      <c r="G151" s="76">
        <f>IFERROR(vlookup(E151,Data!$A$2:$B$4,2,0), 0) + IFERROR(vlookup(F151,Data!$A$2:$B$4,2,0), 0)</f>
        <v>0</v>
      </c>
      <c r="H151" s="79"/>
    </row>
    <row r="152">
      <c r="A152" s="92"/>
      <c r="B152" s="79"/>
      <c r="C152" s="79"/>
      <c r="D152" s="43"/>
      <c r="E152" s="87"/>
      <c r="F152" s="87"/>
      <c r="G152" s="76">
        <f>IFERROR(vlookup(E152,Data!$A$2:$B$4,2,0), 0) + IFERROR(vlookup(F152,Data!$A$2:$B$4,2,0), 0)</f>
        <v>0</v>
      </c>
      <c r="H152" s="79"/>
    </row>
    <row r="153">
      <c r="A153" s="92"/>
      <c r="B153" s="79"/>
      <c r="C153" s="79"/>
      <c r="D153" s="43"/>
      <c r="E153" s="87"/>
      <c r="F153" s="87"/>
      <c r="G153" s="76">
        <f>IFERROR(vlookup(E153,Data!$A$2:$B$4,2,0), 0) + IFERROR(vlookup(F153,Data!$A$2:$B$4,2,0), 0)</f>
        <v>0</v>
      </c>
      <c r="H153" s="79"/>
    </row>
    <row r="154">
      <c r="A154" s="92"/>
      <c r="B154" s="79"/>
      <c r="C154" s="79"/>
      <c r="D154" s="43"/>
      <c r="E154" s="87"/>
      <c r="F154" s="87"/>
      <c r="G154" s="76">
        <f>IFERROR(vlookup(E154,Data!$A$2:$B$4,2,0), 0) + IFERROR(vlookup(F154,Data!$A$2:$B$4,2,0), 0)</f>
        <v>0</v>
      </c>
      <c r="H154" s="79"/>
    </row>
    <row r="155">
      <c r="A155" s="92"/>
      <c r="B155" s="79"/>
      <c r="C155" s="79"/>
      <c r="D155" s="43"/>
      <c r="E155" s="87"/>
      <c r="F155" s="87"/>
      <c r="G155" s="76">
        <f>IFERROR(vlookup(E155,Data!$A$2:$B$4,2,0), 0) + IFERROR(vlookup(F155,Data!$A$2:$B$4,2,0), 0)</f>
        <v>0</v>
      </c>
      <c r="H155" s="79"/>
    </row>
    <row r="156">
      <c r="A156" s="92"/>
      <c r="B156" s="79"/>
      <c r="C156" s="79"/>
      <c r="D156" s="43"/>
      <c r="E156" s="87"/>
      <c r="F156" s="87"/>
      <c r="G156" s="76">
        <f>IFERROR(vlookup(E156,Data!$A$2:$B$4,2,0), 0) + IFERROR(vlookup(F156,Data!$A$2:$B$4,2,0), 0)</f>
        <v>0</v>
      </c>
      <c r="H156" s="79"/>
    </row>
    <row r="157">
      <c r="A157" s="92"/>
      <c r="B157" s="79"/>
      <c r="C157" s="79"/>
      <c r="D157" s="43"/>
      <c r="E157" s="87"/>
      <c r="F157" s="87"/>
      <c r="G157" s="76">
        <f>IFERROR(vlookup(E157,Data!$A$2:$B$4,2,0), 0) + IFERROR(vlookup(F157,Data!$A$2:$B$4,2,0), 0)</f>
        <v>0</v>
      </c>
      <c r="H157" s="79"/>
    </row>
    <row r="158">
      <c r="A158" s="92"/>
      <c r="B158" s="79"/>
      <c r="C158" s="79"/>
      <c r="D158" s="43"/>
      <c r="E158" s="87"/>
      <c r="F158" s="87"/>
      <c r="G158" s="76">
        <f>IFERROR(vlookup(E158,Data!$A$2:$B$4,2,0), 0) + IFERROR(vlookup(F158,Data!$A$2:$B$4,2,0), 0)</f>
        <v>0</v>
      </c>
      <c r="H158" s="79"/>
    </row>
    <row r="159">
      <c r="A159" s="92"/>
      <c r="B159" s="79"/>
      <c r="C159" s="79"/>
      <c r="D159" s="43"/>
      <c r="E159" s="87"/>
      <c r="F159" s="87"/>
      <c r="G159" s="76">
        <f>IFERROR(vlookup(E159,Data!$A$2:$B$4,2,0), 0) + IFERROR(vlookup(F159,Data!$A$2:$B$4,2,0), 0)</f>
        <v>0</v>
      </c>
      <c r="H159" s="79"/>
    </row>
    <row r="160">
      <c r="A160" s="92"/>
      <c r="B160" s="79"/>
      <c r="C160" s="79"/>
      <c r="D160" s="43"/>
      <c r="E160" s="87"/>
      <c r="F160" s="87"/>
      <c r="G160" s="76">
        <f>IFERROR(vlookup(E160,Data!$A$2:$B$4,2,0), 0) + IFERROR(vlookup(F160,Data!$A$2:$B$4,2,0), 0)</f>
        <v>0</v>
      </c>
      <c r="H160" s="79"/>
    </row>
    <row r="161">
      <c r="A161" s="92"/>
      <c r="B161" s="79"/>
      <c r="C161" s="79"/>
      <c r="D161" s="43"/>
      <c r="E161" s="87"/>
      <c r="F161" s="87"/>
      <c r="G161" s="76">
        <f>IFERROR(vlookup(E161,Data!$A$2:$B$4,2,0), 0) + IFERROR(vlookup(F161,Data!$A$2:$B$4,2,0), 0)</f>
        <v>0</v>
      </c>
      <c r="H161" s="79"/>
    </row>
    <row r="162">
      <c r="A162" s="92"/>
      <c r="B162" s="79"/>
      <c r="C162" s="79"/>
      <c r="D162" s="43"/>
      <c r="E162" s="87"/>
      <c r="F162" s="87"/>
      <c r="G162" s="76">
        <f>IFERROR(vlookup(E162,Data!$A$2:$B$4,2,0), 0) + IFERROR(vlookup(F162,Data!$A$2:$B$4,2,0), 0)</f>
        <v>0</v>
      </c>
      <c r="H162" s="79"/>
    </row>
    <row r="163">
      <c r="A163" s="92"/>
      <c r="B163" s="79"/>
      <c r="C163" s="79"/>
      <c r="D163" s="43"/>
      <c r="E163" s="87"/>
      <c r="F163" s="87"/>
      <c r="G163" s="76">
        <f>IFERROR(vlookup(E163,Data!$A$2:$B$4,2,0), 0) + IFERROR(vlookup(F163,Data!$A$2:$B$4,2,0), 0)</f>
        <v>0</v>
      </c>
      <c r="H163" s="79"/>
    </row>
    <row r="164">
      <c r="A164" s="92"/>
      <c r="B164" s="79"/>
      <c r="C164" s="79"/>
      <c r="D164" s="43"/>
      <c r="E164" s="87"/>
      <c r="F164" s="87"/>
      <c r="G164" s="76">
        <f>IFERROR(vlookup(E164,Data!$A$2:$B$4,2,0), 0) + IFERROR(vlookup(F164,Data!$A$2:$B$4,2,0), 0)</f>
        <v>0</v>
      </c>
      <c r="H164" s="79"/>
    </row>
    <row r="165">
      <c r="A165" s="92"/>
      <c r="B165" s="79"/>
      <c r="C165" s="79"/>
      <c r="D165" s="43"/>
      <c r="E165" s="87"/>
      <c r="F165" s="87"/>
      <c r="G165" s="76">
        <f>IFERROR(vlookup(E165,Data!$A$2:$B$4,2,0), 0) + IFERROR(vlookup(F165,Data!$A$2:$B$4,2,0), 0)</f>
        <v>0</v>
      </c>
      <c r="H165" s="79"/>
    </row>
    <row r="166">
      <c r="A166" s="92"/>
      <c r="B166" s="79"/>
      <c r="C166" s="79"/>
      <c r="D166" s="43"/>
      <c r="E166" s="87"/>
      <c r="F166" s="87"/>
      <c r="G166" s="76">
        <f>IFERROR(vlookup(E166,Data!$A$2:$B$4,2,0), 0) + IFERROR(vlookup(F166,Data!$A$2:$B$4,2,0), 0)</f>
        <v>0</v>
      </c>
      <c r="H166" s="79"/>
    </row>
    <row r="167">
      <c r="A167" s="92"/>
      <c r="B167" s="79"/>
      <c r="C167" s="79"/>
      <c r="D167" s="43"/>
      <c r="E167" s="87"/>
      <c r="F167" s="87"/>
      <c r="G167" s="76">
        <f>IFERROR(vlookup(E167,Data!$A$2:$B$4,2,0), 0) + IFERROR(vlookup(F167,Data!$A$2:$B$4,2,0), 0)</f>
        <v>0</v>
      </c>
      <c r="H167" s="79"/>
    </row>
    <row r="168">
      <c r="A168" s="92"/>
      <c r="B168" s="79"/>
      <c r="C168" s="79"/>
      <c r="D168" s="43"/>
      <c r="E168" s="87"/>
      <c r="F168" s="87"/>
      <c r="G168" s="76">
        <f>IFERROR(vlookup(E168,Data!$A$2:$B$4,2,0), 0) + IFERROR(vlookup(F168,Data!$A$2:$B$4,2,0), 0)</f>
        <v>0</v>
      </c>
      <c r="H168" s="79"/>
    </row>
    <row r="169">
      <c r="A169" s="92"/>
      <c r="B169" s="79"/>
      <c r="C169" s="79"/>
      <c r="D169" s="43"/>
      <c r="E169" s="87"/>
      <c r="F169" s="87"/>
      <c r="G169" s="76">
        <f>IFERROR(vlookup(E169,Data!$A$2:$B$4,2,0), 0) + IFERROR(vlookup(F169,Data!$A$2:$B$4,2,0), 0)</f>
        <v>0</v>
      </c>
      <c r="H169" s="79"/>
    </row>
    <row r="170">
      <c r="A170" s="92"/>
      <c r="B170" s="79"/>
      <c r="C170" s="79"/>
      <c r="D170" s="43"/>
      <c r="E170" s="87"/>
      <c r="F170" s="87"/>
      <c r="G170" s="76">
        <f>IFERROR(vlookup(E170,Data!$A$2:$B$4,2,0), 0) + IFERROR(vlookup(F170,Data!$A$2:$B$4,2,0), 0)</f>
        <v>0</v>
      </c>
      <c r="H170" s="79"/>
    </row>
    <row r="171">
      <c r="A171" s="92"/>
      <c r="B171" s="79"/>
      <c r="C171" s="79"/>
      <c r="D171" s="43"/>
      <c r="E171" s="87"/>
      <c r="F171" s="87"/>
      <c r="G171" s="76">
        <f>IFERROR(vlookup(E171,Data!$A$2:$B$4,2,0), 0) + IFERROR(vlookup(F171,Data!$A$2:$B$4,2,0), 0)</f>
        <v>0</v>
      </c>
      <c r="H171" s="79"/>
    </row>
    <row r="172">
      <c r="A172" s="92"/>
      <c r="B172" s="79"/>
      <c r="C172" s="79"/>
      <c r="D172" s="43"/>
      <c r="E172" s="87"/>
      <c r="F172" s="87"/>
      <c r="G172" s="76">
        <f>IFERROR(vlookup(E172,Data!$A$2:$B$4,2,0), 0) + IFERROR(vlookup(F172,Data!$A$2:$B$4,2,0), 0)</f>
        <v>0</v>
      </c>
      <c r="H172" s="79"/>
    </row>
    <row r="173">
      <c r="A173" s="92"/>
      <c r="B173" s="79"/>
      <c r="C173" s="79"/>
      <c r="D173" s="43"/>
      <c r="E173" s="87"/>
      <c r="F173" s="87"/>
      <c r="G173" s="76">
        <f>IFERROR(vlookup(E173,Data!$A$2:$B$4,2,0), 0) + IFERROR(vlookup(F173,Data!$A$2:$B$4,2,0), 0)</f>
        <v>0</v>
      </c>
      <c r="H173" s="79"/>
    </row>
    <row r="174">
      <c r="A174" s="92"/>
      <c r="B174" s="79"/>
      <c r="C174" s="79"/>
      <c r="D174" s="43"/>
      <c r="E174" s="87"/>
      <c r="F174" s="87"/>
      <c r="G174" s="76">
        <f>IFERROR(vlookup(E174,Data!$A$2:$B$4,2,0), 0) + IFERROR(vlookup(F174,Data!$A$2:$B$4,2,0), 0)</f>
        <v>0</v>
      </c>
      <c r="H174" s="79"/>
    </row>
    <row r="175">
      <c r="A175" s="92"/>
      <c r="B175" s="79"/>
      <c r="C175" s="79"/>
      <c r="D175" s="43"/>
      <c r="E175" s="87"/>
      <c r="F175" s="87"/>
      <c r="G175" s="76">
        <f>IFERROR(vlookup(E175,Data!$A$2:$B$4,2,0), 0) + IFERROR(vlookup(F175,Data!$A$2:$B$4,2,0), 0)</f>
        <v>0</v>
      </c>
      <c r="H175" s="79"/>
    </row>
    <row r="176">
      <c r="A176" s="92"/>
      <c r="B176" s="79"/>
      <c r="C176" s="79"/>
      <c r="D176" s="43"/>
      <c r="E176" s="87"/>
      <c r="F176" s="87"/>
      <c r="G176" s="76">
        <f>IFERROR(vlookup(E176,Data!$A$2:$B$4,2,0), 0) + IFERROR(vlookup(F176,Data!$A$2:$B$4,2,0), 0)</f>
        <v>0</v>
      </c>
      <c r="H176" s="79"/>
    </row>
    <row r="177">
      <c r="A177" s="92"/>
      <c r="B177" s="79"/>
      <c r="C177" s="79"/>
      <c r="D177" s="43"/>
      <c r="E177" s="87"/>
      <c r="F177" s="87"/>
      <c r="G177" s="76">
        <f>IFERROR(vlookup(E177,Data!$A$2:$B$4,2,0), 0) + IFERROR(vlookup(F177,Data!$A$2:$B$4,2,0), 0)</f>
        <v>0</v>
      </c>
      <c r="H177" s="79"/>
    </row>
    <row r="178">
      <c r="A178" s="92"/>
      <c r="B178" s="79"/>
      <c r="C178" s="79"/>
      <c r="D178" s="43"/>
      <c r="E178" s="87"/>
      <c r="F178" s="87"/>
      <c r="G178" s="76">
        <f>IFERROR(vlookup(E178,Data!$A$2:$B$4,2,0), 0) + IFERROR(vlookup(F178,Data!$A$2:$B$4,2,0), 0)</f>
        <v>0</v>
      </c>
      <c r="H178" s="79"/>
    </row>
    <row r="179">
      <c r="A179" s="92"/>
      <c r="B179" s="79"/>
      <c r="C179" s="79"/>
      <c r="D179" s="43"/>
      <c r="E179" s="87"/>
      <c r="F179" s="87"/>
      <c r="G179" s="76">
        <f>IFERROR(vlookup(E179,Data!$A$2:$B$4,2,0), 0) + IFERROR(vlookup(F179,Data!$A$2:$B$4,2,0), 0)</f>
        <v>0</v>
      </c>
      <c r="H179" s="79"/>
    </row>
    <row r="180">
      <c r="A180" s="92"/>
      <c r="B180" s="79"/>
      <c r="C180" s="79"/>
      <c r="D180" s="43"/>
      <c r="E180" s="87"/>
      <c r="F180" s="87"/>
      <c r="G180" s="76">
        <f>IFERROR(vlookup(E180,Data!$A$2:$B$4,2,0), 0) + IFERROR(vlookup(F180,Data!$A$2:$B$4,2,0), 0)</f>
        <v>0</v>
      </c>
      <c r="H180" s="79"/>
    </row>
    <row r="181">
      <c r="A181" s="92"/>
      <c r="B181" s="79"/>
      <c r="C181" s="79"/>
      <c r="D181" s="43"/>
      <c r="E181" s="87"/>
      <c r="F181" s="87"/>
      <c r="G181" s="76">
        <f>IFERROR(vlookup(E181,Data!$A$2:$B$4,2,0), 0) + IFERROR(vlookup(F181,Data!$A$2:$B$4,2,0), 0)</f>
        <v>0</v>
      </c>
      <c r="H181" s="79"/>
    </row>
    <row r="182">
      <c r="A182" s="92"/>
      <c r="B182" s="79"/>
      <c r="C182" s="79"/>
      <c r="D182" s="43"/>
      <c r="E182" s="87"/>
      <c r="F182" s="87"/>
      <c r="G182" s="76">
        <f>IFERROR(vlookup(E182,Data!$A$2:$B$4,2,0), 0) + IFERROR(vlookup(F182,Data!$A$2:$B$4,2,0), 0)</f>
        <v>0</v>
      </c>
      <c r="H182" s="79"/>
    </row>
    <row r="183">
      <c r="A183" s="92"/>
      <c r="B183" s="79"/>
      <c r="C183" s="79"/>
      <c r="D183" s="43"/>
      <c r="E183" s="87"/>
      <c r="F183" s="87"/>
      <c r="G183" s="76">
        <f>IFERROR(vlookup(E183,Data!$A$2:$B$4,2,0), 0) + IFERROR(vlookup(F183,Data!$A$2:$B$4,2,0), 0)</f>
        <v>0</v>
      </c>
      <c r="H183" s="79"/>
    </row>
    <row r="184">
      <c r="A184" s="92"/>
      <c r="B184" s="79"/>
      <c r="C184" s="79"/>
      <c r="D184" s="43"/>
      <c r="E184" s="87"/>
      <c r="F184" s="87"/>
      <c r="G184" s="76">
        <f>IFERROR(vlookup(E184,Data!$A$2:$B$4,2,0), 0) + IFERROR(vlookup(F184,Data!$A$2:$B$4,2,0), 0)</f>
        <v>0</v>
      </c>
      <c r="H184" s="79"/>
    </row>
    <row r="185">
      <c r="A185" s="92"/>
      <c r="B185" s="79"/>
      <c r="C185" s="79"/>
      <c r="D185" s="43"/>
      <c r="E185" s="87"/>
      <c r="F185" s="87"/>
      <c r="G185" s="76">
        <f>IFERROR(vlookup(E185,Data!$A$2:$B$4,2,0), 0) + IFERROR(vlookup(F185,Data!$A$2:$B$4,2,0), 0)</f>
        <v>0</v>
      </c>
      <c r="H185" s="79"/>
    </row>
    <row r="186">
      <c r="A186" s="92"/>
      <c r="B186" s="79"/>
      <c r="C186" s="79"/>
      <c r="D186" s="43"/>
      <c r="E186" s="87"/>
      <c r="F186" s="87"/>
      <c r="G186" s="76">
        <f>IFERROR(vlookup(E186,Data!$A$2:$B$4,2,0), 0) + IFERROR(vlookup(F186,Data!$A$2:$B$4,2,0), 0)</f>
        <v>0</v>
      </c>
      <c r="H186" s="79"/>
    </row>
    <row r="187">
      <c r="A187" s="92"/>
      <c r="B187" s="79"/>
      <c r="C187" s="79"/>
      <c r="D187" s="43"/>
      <c r="E187" s="87"/>
      <c r="F187" s="87"/>
      <c r="G187" s="76">
        <f>IFERROR(vlookup(E187,Data!$A$2:$B$4,2,0), 0) + IFERROR(vlookup(F187,Data!$A$2:$B$4,2,0), 0)</f>
        <v>0</v>
      </c>
      <c r="H187" s="79"/>
    </row>
    <row r="188">
      <c r="A188" s="92"/>
      <c r="B188" s="79"/>
      <c r="C188" s="79"/>
      <c r="D188" s="43"/>
      <c r="E188" s="87"/>
      <c r="F188" s="87"/>
      <c r="G188" s="76">
        <f>IFERROR(vlookup(E188,Data!$A$2:$B$4,2,0), 0) + IFERROR(vlookup(F188,Data!$A$2:$B$4,2,0), 0)</f>
        <v>0</v>
      </c>
      <c r="H188" s="79"/>
    </row>
    <row r="189">
      <c r="A189" s="92"/>
      <c r="B189" s="79"/>
      <c r="C189" s="79"/>
      <c r="D189" s="43"/>
      <c r="E189" s="87"/>
      <c r="F189" s="87"/>
      <c r="G189" s="76">
        <f>IFERROR(vlookup(E189,Data!$A$2:$B$4,2,0), 0) + IFERROR(vlookup(F189,Data!$A$2:$B$4,2,0), 0)</f>
        <v>0</v>
      </c>
      <c r="H189" s="79"/>
    </row>
    <row r="190">
      <c r="A190" s="92"/>
      <c r="B190" s="79"/>
      <c r="C190" s="79"/>
      <c r="D190" s="43"/>
      <c r="E190" s="87"/>
      <c r="F190" s="87"/>
      <c r="G190" s="76">
        <f>IFERROR(vlookup(E190,Data!$A$2:$B$4,2,0), 0) + IFERROR(vlookup(F190,Data!$A$2:$B$4,2,0), 0)</f>
        <v>0</v>
      </c>
      <c r="H190" s="79"/>
    </row>
    <row r="191">
      <c r="A191" s="92"/>
      <c r="B191" s="79"/>
      <c r="C191" s="79"/>
      <c r="D191" s="43"/>
      <c r="E191" s="87"/>
      <c r="F191" s="87"/>
      <c r="G191" s="76">
        <f>IFERROR(vlookup(E191,Data!$A$2:$B$4,2,0), 0) + IFERROR(vlookup(F191,Data!$A$2:$B$4,2,0), 0)</f>
        <v>0</v>
      </c>
      <c r="H191" s="79"/>
    </row>
    <row r="192">
      <c r="A192" s="92"/>
      <c r="B192" s="79"/>
      <c r="C192" s="79"/>
      <c r="D192" s="43"/>
      <c r="E192" s="87"/>
      <c r="F192" s="87"/>
      <c r="G192" s="76">
        <f>IFERROR(vlookup(E192,Data!$A$2:$B$4,2,0), 0) + IFERROR(vlookup(F192,Data!$A$2:$B$4,2,0), 0)</f>
        <v>0</v>
      </c>
      <c r="H192" s="79"/>
    </row>
    <row r="193">
      <c r="A193" s="92"/>
      <c r="B193" s="79"/>
      <c r="C193" s="79"/>
      <c r="D193" s="43"/>
      <c r="E193" s="87"/>
      <c r="F193" s="87"/>
      <c r="G193" s="76">
        <f>IFERROR(vlookup(E193,Data!$A$2:$B$4,2,0), 0) + IFERROR(vlookup(F193,Data!$A$2:$B$4,2,0), 0)</f>
        <v>0</v>
      </c>
      <c r="H193" s="79"/>
    </row>
    <row r="194">
      <c r="A194" s="92"/>
      <c r="B194" s="79"/>
      <c r="C194" s="79"/>
      <c r="D194" s="43"/>
      <c r="E194" s="87"/>
      <c r="F194" s="87"/>
      <c r="G194" s="76">
        <f>IFERROR(vlookup(E194,Data!$A$2:$B$4,2,0), 0) + IFERROR(vlookup(F194,Data!$A$2:$B$4,2,0), 0)</f>
        <v>0</v>
      </c>
      <c r="H194" s="79"/>
    </row>
    <row r="195">
      <c r="A195" s="92"/>
      <c r="B195" s="79"/>
      <c r="C195" s="79"/>
      <c r="D195" s="43"/>
      <c r="E195" s="87"/>
      <c r="F195" s="87"/>
      <c r="G195" s="76">
        <f>IFERROR(vlookup(E195,Data!$A$2:$B$4,2,0), 0) + IFERROR(vlookup(F195,Data!$A$2:$B$4,2,0), 0)</f>
        <v>0</v>
      </c>
      <c r="H195" s="79"/>
    </row>
    <row r="196">
      <c r="A196" s="92"/>
      <c r="B196" s="79"/>
      <c r="C196" s="79"/>
      <c r="D196" s="43"/>
      <c r="E196" s="87"/>
      <c r="F196" s="87"/>
      <c r="G196" s="76">
        <f>IFERROR(vlookup(E196,Data!$A$2:$B$4,2,0), 0) + IFERROR(vlookup(F196,Data!$A$2:$B$4,2,0), 0)</f>
        <v>0</v>
      </c>
      <c r="H196" s="79"/>
    </row>
    <row r="197">
      <c r="A197" s="92"/>
      <c r="B197" s="79"/>
      <c r="C197" s="79"/>
      <c r="D197" s="43"/>
      <c r="E197" s="87"/>
      <c r="F197" s="87"/>
      <c r="G197" s="76">
        <f>IFERROR(vlookup(E197,Data!$A$2:$B$4,2,0), 0) + IFERROR(vlookup(F197,Data!$A$2:$B$4,2,0), 0)</f>
        <v>0</v>
      </c>
      <c r="H197" s="79"/>
    </row>
    <row r="198">
      <c r="A198" s="92"/>
      <c r="B198" s="79"/>
      <c r="C198" s="79"/>
      <c r="D198" s="43"/>
      <c r="E198" s="87"/>
      <c r="F198" s="87"/>
      <c r="G198" s="76">
        <f>IFERROR(vlookup(E198,Data!$A$2:$B$4,2,0), 0) + IFERROR(vlookup(F198,Data!$A$2:$B$4,2,0), 0)</f>
        <v>0</v>
      </c>
      <c r="H198" s="79"/>
    </row>
    <row r="199">
      <c r="A199" s="92"/>
      <c r="B199" s="79"/>
      <c r="C199" s="79"/>
      <c r="D199" s="43"/>
      <c r="E199" s="87"/>
      <c r="F199" s="87"/>
      <c r="G199" s="76">
        <f>IFERROR(vlookup(E199,Data!$A$2:$B$4,2,0), 0) + IFERROR(vlookup(F199,Data!$A$2:$B$4,2,0), 0)</f>
        <v>0</v>
      </c>
      <c r="H199" s="79"/>
    </row>
    <row r="200">
      <c r="A200" s="92"/>
      <c r="B200" s="79"/>
      <c r="C200" s="79"/>
      <c r="D200" s="43"/>
      <c r="E200" s="87"/>
      <c r="F200" s="87"/>
      <c r="G200" s="76">
        <f>IFERROR(vlookup(E200,Data!$A$2:$B$4,2,0), 0) + IFERROR(vlookup(F200,Data!$A$2:$B$4,2,0), 0)</f>
        <v>0</v>
      </c>
      <c r="H200" s="79"/>
    </row>
    <row r="201">
      <c r="A201" s="92"/>
      <c r="B201" s="79"/>
      <c r="C201" s="79"/>
      <c r="D201" s="43"/>
      <c r="E201" s="87"/>
      <c r="F201" s="87"/>
      <c r="G201" s="76">
        <f>IFERROR(vlookup(E201,Data!$A$2:$B$4,2,0), 0) + IFERROR(vlookup(F201,Data!$A$2:$B$4,2,0), 0)</f>
        <v>0</v>
      </c>
      <c r="H201" s="79"/>
    </row>
    <row r="202">
      <c r="A202" s="92"/>
      <c r="B202" s="79"/>
      <c r="C202" s="79"/>
      <c r="D202" s="43"/>
      <c r="E202" s="87"/>
      <c r="F202" s="87"/>
      <c r="G202" s="76">
        <f>IFERROR(vlookup(E202,Data!$A$2:$B$4,2,0), 0) + IFERROR(vlookup(F202,Data!$A$2:$B$4,2,0), 0)</f>
        <v>0</v>
      </c>
      <c r="H202" s="79"/>
    </row>
    <row r="203">
      <c r="A203" s="92"/>
      <c r="B203" s="79"/>
      <c r="C203" s="79"/>
      <c r="D203" s="43"/>
      <c r="E203" s="87"/>
      <c r="F203" s="87"/>
      <c r="G203" s="76">
        <f>IFERROR(vlookup(E203,Data!$A$2:$B$4,2,0), 0) + IFERROR(vlookup(F203,Data!$A$2:$B$4,2,0), 0)</f>
        <v>0</v>
      </c>
      <c r="H203" s="79"/>
    </row>
    <row r="204">
      <c r="A204" s="92"/>
      <c r="B204" s="79"/>
      <c r="C204" s="79"/>
      <c r="D204" s="43"/>
      <c r="E204" s="87"/>
      <c r="F204" s="87"/>
      <c r="G204" s="76">
        <f>IFERROR(vlookup(E204,Data!$A$2:$B$4,2,0), 0) + IFERROR(vlookup(F204,Data!$A$2:$B$4,2,0), 0)</f>
        <v>0</v>
      </c>
      <c r="H204" s="79"/>
    </row>
    <row r="205">
      <c r="A205" s="92"/>
      <c r="B205" s="79"/>
      <c r="C205" s="79"/>
      <c r="D205" s="43"/>
      <c r="E205" s="87"/>
      <c r="F205" s="87"/>
      <c r="G205" s="76">
        <f>IFERROR(vlookup(E205,Data!$A$2:$B$4,2,0), 0) + IFERROR(vlookup(F205,Data!$A$2:$B$4,2,0), 0)</f>
        <v>0</v>
      </c>
      <c r="H205" s="79"/>
    </row>
    <row r="206">
      <c r="A206" s="92"/>
      <c r="B206" s="79"/>
      <c r="C206" s="79"/>
      <c r="D206" s="43"/>
      <c r="E206" s="87"/>
      <c r="F206" s="87"/>
      <c r="G206" s="76">
        <f>IFERROR(vlookup(E206,Data!$A$2:$B$4,2,0), 0) + IFERROR(vlookup(F206,Data!$A$2:$B$4,2,0), 0)</f>
        <v>0</v>
      </c>
      <c r="H206" s="79"/>
    </row>
    <row r="207">
      <c r="A207" s="92"/>
      <c r="B207" s="79"/>
      <c r="C207" s="79"/>
      <c r="D207" s="43"/>
      <c r="E207" s="87"/>
      <c r="F207" s="87"/>
      <c r="G207" s="76">
        <f>IFERROR(vlookup(E207,Data!$A$2:$B$4,2,0), 0) + IFERROR(vlookup(F207,Data!$A$2:$B$4,2,0), 0)</f>
        <v>0</v>
      </c>
      <c r="H207" s="79"/>
    </row>
    <row r="208">
      <c r="A208" s="92"/>
      <c r="B208" s="79"/>
      <c r="C208" s="79"/>
      <c r="D208" s="43"/>
      <c r="E208" s="87"/>
      <c r="F208" s="87"/>
      <c r="G208" s="76">
        <f>IFERROR(vlookup(E208,Data!$A$2:$B$4,2,0), 0) + IFERROR(vlookup(F208,Data!$A$2:$B$4,2,0), 0)</f>
        <v>0</v>
      </c>
      <c r="H208" s="79"/>
    </row>
    <row r="209">
      <c r="A209" s="92"/>
      <c r="B209" s="79"/>
      <c r="C209" s="79"/>
      <c r="D209" s="43"/>
      <c r="E209" s="87"/>
      <c r="F209" s="87"/>
      <c r="G209" s="76">
        <f>IFERROR(vlookup(E209,Data!$A$2:$B$4,2,0), 0) + IFERROR(vlookup(F209,Data!$A$2:$B$4,2,0), 0)</f>
        <v>0</v>
      </c>
      <c r="H209" s="79"/>
    </row>
    <row r="210">
      <c r="A210" s="92"/>
      <c r="B210" s="79"/>
      <c r="C210" s="79"/>
      <c r="D210" s="43"/>
      <c r="E210" s="87"/>
      <c r="F210" s="87"/>
      <c r="G210" s="76">
        <f>IFERROR(vlookup(E210,Data!$A$2:$B$4,2,0), 0) + IFERROR(vlookup(F210,Data!$A$2:$B$4,2,0), 0)</f>
        <v>0</v>
      </c>
      <c r="H210" s="79"/>
    </row>
    <row r="211">
      <c r="A211" s="92"/>
      <c r="B211" s="79"/>
      <c r="C211" s="79"/>
      <c r="D211" s="43"/>
      <c r="E211" s="87"/>
      <c r="F211" s="87"/>
      <c r="G211" s="76">
        <f>IFERROR(vlookup(E211,Data!$A$2:$B$4,2,0), 0) + IFERROR(vlookup(F211,Data!$A$2:$B$4,2,0), 0)</f>
        <v>0</v>
      </c>
      <c r="H211" s="79"/>
    </row>
    <row r="212">
      <c r="A212" s="92"/>
      <c r="B212" s="79"/>
      <c r="C212" s="79"/>
      <c r="D212" s="43"/>
      <c r="E212" s="87"/>
      <c r="F212" s="87"/>
      <c r="G212" s="76">
        <f>IFERROR(vlookup(E212,Data!$A$2:$B$4,2,0), 0) + IFERROR(vlookup(F212,Data!$A$2:$B$4,2,0), 0)</f>
        <v>0</v>
      </c>
      <c r="H212" s="79"/>
    </row>
    <row r="213">
      <c r="A213" s="92"/>
      <c r="B213" s="79"/>
      <c r="C213" s="79"/>
      <c r="D213" s="43"/>
      <c r="E213" s="87"/>
      <c r="F213" s="87"/>
      <c r="G213" s="76">
        <f>IFERROR(vlookup(E213,Data!$A$2:$B$4,2,0), 0) + IFERROR(vlookup(F213,Data!$A$2:$B$4,2,0), 0)</f>
        <v>0</v>
      </c>
      <c r="H213" s="79"/>
    </row>
    <row r="214">
      <c r="A214" s="92"/>
      <c r="B214" s="79"/>
      <c r="C214" s="79"/>
      <c r="D214" s="43"/>
      <c r="E214" s="87"/>
      <c r="F214" s="87"/>
      <c r="G214" s="76">
        <f>IFERROR(vlookup(E214,Data!$A$2:$B$4,2,0), 0) + IFERROR(vlookup(F214,Data!$A$2:$B$4,2,0), 0)</f>
        <v>0</v>
      </c>
      <c r="H214" s="79"/>
    </row>
    <row r="215">
      <c r="A215" s="92"/>
      <c r="B215" s="79"/>
      <c r="C215" s="79"/>
      <c r="D215" s="43"/>
      <c r="E215" s="87"/>
      <c r="F215" s="87"/>
      <c r="G215" s="76">
        <f>IFERROR(vlookup(E215,Data!$A$2:$B$4,2,0), 0) + IFERROR(vlookup(F215,Data!$A$2:$B$4,2,0), 0)</f>
        <v>0</v>
      </c>
      <c r="H215" s="79"/>
    </row>
    <row r="216">
      <c r="A216" s="92"/>
      <c r="B216" s="79"/>
      <c r="C216" s="79"/>
      <c r="D216" s="43"/>
      <c r="E216" s="87"/>
      <c r="F216" s="87"/>
      <c r="G216" s="76">
        <f>IFERROR(vlookup(E216,Data!$A$2:$B$4,2,0), 0) + IFERROR(vlookup(F216,Data!$A$2:$B$4,2,0), 0)</f>
        <v>0</v>
      </c>
      <c r="H216" s="79"/>
    </row>
    <row r="217">
      <c r="A217" s="92"/>
      <c r="B217" s="79"/>
      <c r="C217" s="79"/>
      <c r="D217" s="43"/>
      <c r="E217" s="87"/>
      <c r="F217" s="87"/>
      <c r="G217" s="76">
        <f>IFERROR(vlookup(E217,Data!$A$2:$B$4,2,0), 0) + IFERROR(vlookup(F217,Data!$A$2:$B$4,2,0), 0)</f>
        <v>0</v>
      </c>
      <c r="H217" s="79"/>
    </row>
    <row r="218">
      <c r="A218" s="92"/>
      <c r="B218" s="79"/>
      <c r="C218" s="79"/>
      <c r="D218" s="43"/>
      <c r="E218" s="87"/>
      <c r="F218" s="87"/>
      <c r="G218" s="76">
        <f>IFERROR(vlookup(E218,Data!$A$2:$B$4,2,0), 0) + IFERROR(vlookup(F218,Data!$A$2:$B$4,2,0), 0)</f>
        <v>0</v>
      </c>
      <c r="H218" s="79"/>
    </row>
    <row r="219">
      <c r="A219" s="92"/>
      <c r="B219" s="79"/>
      <c r="C219" s="79"/>
      <c r="D219" s="43"/>
      <c r="E219" s="87"/>
      <c r="F219" s="87"/>
      <c r="G219" s="76">
        <f>IFERROR(vlookup(E219,Data!$A$2:$B$4,2,0), 0) + IFERROR(vlookup(F219,Data!$A$2:$B$4,2,0), 0)</f>
        <v>0</v>
      </c>
      <c r="H219" s="79"/>
    </row>
    <row r="220">
      <c r="A220" s="92"/>
      <c r="B220" s="79"/>
      <c r="C220" s="79"/>
      <c r="D220" s="43"/>
      <c r="E220" s="87"/>
      <c r="F220" s="87"/>
      <c r="G220" s="76">
        <f>IFERROR(vlookup(E220,Data!$A$2:$B$4,2,0), 0) + IFERROR(vlookup(F220,Data!$A$2:$B$4,2,0), 0)</f>
        <v>0</v>
      </c>
      <c r="H220" s="79"/>
    </row>
    <row r="221">
      <c r="A221" s="92"/>
      <c r="B221" s="79"/>
      <c r="C221" s="79"/>
      <c r="D221" s="43"/>
      <c r="E221" s="87"/>
      <c r="F221" s="87"/>
      <c r="G221" s="76">
        <f>IFERROR(vlookup(E221,Data!$A$2:$B$4,2,0), 0) + IFERROR(vlookup(F221,Data!$A$2:$B$4,2,0), 0)</f>
        <v>0</v>
      </c>
      <c r="H221" s="79"/>
    </row>
    <row r="222">
      <c r="A222" s="92"/>
      <c r="B222" s="79"/>
      <c r="C222" s="79"/>
      <c r="D222" s="43"/>
      <c r="E222" s="87"/>
      <c r="F222" s="87"/>
      <c r="G222" s="76">
        <f>IFERROR(vlookup(E222,Data!$A$2:$B$4,2,0), 0) + IFERROR(vlookup(F222,Data!$A$2:$B$4,2,0), 0)</f>
        <v>0</v>
      </c>
      <c r="H222" s="79"/>
    </row>
    <row r="223">
      <c r="A223" s="92"/>
      <c r="B223" s="79"/>
      <c r="C223" s="79"/>
      <c r="D223" s="43"/>
      <c r="E223" s="87"/>
      <c r="F223" s="87"/>
      <c r="G223" s="76">
        <f>IFERROR(vlookup(E223,Data!$A$2:$B$4,2,0), 0) + IFERROR(vlookup(F223,Data!$A$2:$B$4,2,0), 0)</f>
        <v>0</v>
      </c>
      <c r="H223" s="79"/>
    </row>
    <row r="224">
      <c r="A224" s="92"/>
      <c r="B224" s="79"/>
      <c r="C224" s="79"/>
      <c r="D224" s="43"/>
      <c r="E224" s="87"/>
      <c r="F224" s="87"/>
      <c r="G224" s="76">
        <f>IFERROR(vlookup(E224,Data!$A$2:$B$4,2,0), 0) + IFERROR(vlookup(F224,Data!$A$2:$B$4,2,0), 0)</f>
        <v>0</v>
      </c>
      <c r="H224" s="79"/>
    </row>
    <row r="225">
      <c r="A225" s="92"/>
      <c r="B225" s="79"/>
      <c r="C225" s="79"/>
      <c r="D225" s="43"/>
      <c r="E225" s="87"/>
      <c r="F225" s="87"/>
      <c r="G225" s="76">
        <f>IFERROR(vlookup(E225,Data!$A$2:$B$4,2,0), 0) + IFERROR(vlookup(F225,Data!$A$2:$B$4,2,0), 0)</f>
        <v>0</v>
      </c>
      <c r="H225" s="79"/>
    </row>
    <row r="226">
      <c r="A226" s="92"/>
      <c r="B226" s="79"/>
      <c r="C226" s="79"/>
      <c r="D226" s="43"/>
      <c r="E226" s="87"/>
      <c r="F226" s="87"/>
      <c r="G226" s="76">
        <f>IFERROR(vlookup(E226,Data!$A$2:$B$4,2,0), 0) + IFERROR(vlookup(F226,Data!$A$2:$B$4,2,0), 0)</f>
        <v>0</v>
      </c>
      <c r="H226" s="79"/>
    </row>
    <row r="227">
      <c r="A227" s="92"/>
      <c r="B227" s="79"/>
      <c r="C227" s="79"/>
      <c r="D227" s="43"/>
      <c r="E227" s="87"/>
      <c r="F227" s="87"/>
      <c r="G227" s="76">
        <f>IFERROR(vlookup(E227,Data!$A$2:$B$4,2,0), 0) + IFERROR(vlookup(F227,Data!$A$2:$B$4,2,0), 0)</f>
        <v>0</v>
      </c>
      <c r="H227" s="79"/>
    </row>
    <row r="228">
      <c r="A228" s="92"/>
      <c r="B228" s="79"/>
      <c r="C228" s="79"/>
      <c r="D228" s="43"/>
      <c r="E228" s="87"/>
      <c r="F228" s="87"/>
      <c r="G228" s="76">
        <f>IFERROR(vlookup(E228,Data!$A$2:$B$4,2,0), 0) + IFERROR(vlookup(F228,Data!$A$2:$B$4,2,0), 0)</f>
        <v>0</v>
      </c>
      <c r="H228" s="79"/>
    </row>
    <row r="229">
      <c r="A229" s="92"/>
      <c r="B229" s="79"/>
      <c r="C229" s="79"/>
      <c r="D229" s="43"/>
      <c r="E229" s="87"/>
      <c r="F229" s="87"/>
      <c r="G229" s="76">
        <f>IFERROR(vlookup(E229,Data!$A$2:$B$4,2,0), 0) + IFERROR(vlookup(F229,Data!$A$2:$B$4,2,0), 0)</f>
        <v>0</v>
      </c>
      <c r="H229" s="79"/>
    </row>
    <row r="230">
      <c r="A230" s="92"/>
      <c r="B230" s="79"/>
      <c r="C230" s="79"/>
      <c r="D230" s="43"/>
      <c r="E230" s="87"/>
      <c r="F230" s="87"/>
      <c r="G230" s="76">
        <f>IFERROR(vlookup(E230,Data!$A$2:$B$4,2,0), 0) + IFERROR(vlookup(F230,Data!$A$2:$B$4,2,0), 0)</f>
        <v>0</v>
      </c>
      <c r="H230" s="79"/>
    </row>
    <row r="231">
      <c r="A231" s="92"/>
      <c r="B231" s="79"/>
      <c r="C231" s="79"/>
      <c r="D231" s="43"/>
      <c r="E231" s="87"/>
      <c r="F231" s="87"/>
      <c r="G231" s="76">
        <f>IFERROR(vlookup(E231,Data!$A$2:$B$4,2,0), 0) + IFERROR(vlookup(F231,Data!$A$2:$B$4,2,0), 0)</f>
        <v>0</v>
      </c>
      <c r="H231" s="79"/>
    </row>
    <row r="232">
      <c r="A232" s="92"/>
      <c r="B232" s="79"/>
      <c r="C232" s="79"/>
      <c r="D232" s="43"/>
      <c r="E232" s="87"/>
      <c r="F232" s="87"/>
      <c r="G232" s="76">
        <f>IFERROR(vlookup(E232,Data!$A$2:$B$4,2,0), 0) + IFERROR(vlookup(F232,Data!$A$2:$B$4,2,0), 0)</f>
        <v>0</v>
      </c>
      <c r="H232" s="79"/>
    </row>
    <row r="233">
      <c r="A233" s="92"/>
      <c r="B233" s="79"/>
      <c r="C233" s="79"/>
      <c r="D233" s="43"/>
      <c r="E233" s="87"/>
      <c r="F233" s="87"/>
      <c r="G233" s="76">
        <f>IFERROR(vlookup(E233,Data!$A$2:$B$4,2,0), 0) + IFERROR(vlookup(F233,Data!$A$2:$B$4,2,0), 0)</f>
        <v>0</v>
      </c>
      <c r="H233" s="79"/>
    </row>
    <row r="234">
      <c r="A234" s="92"/>
      <c r="B234" s="79"/>
      <c r="C234" s="79"/>
      <c r="D234" s="43"/>
      <c r="E234" s="87"/>
      <c r="F234" s="87"/>
      <c r="G234" s="76">
        <f>IFERROR(vlookup(E234,Data!$A$2:$B$4,2,0), 0) + IFERROR(vlookup(F234,Data!$A$2:$B$4,2,0), 0)</f>
        <v>0</v>
      </c>
      <c r="H234" s="79"/>
    </row>
    <row r="235">
      <c r="A235" s="92"/>
      <c r="B235" s="79"/>
      <c r="C235" s="79"/>
      <c r="D235" s="43"/>
      <c r="E235" s="87"/>
      <c r="F235" s="87"/>
      <c r="G235" s="76">
        <f>IFERROR(vlookup(E235,Data!$A$2:$B$4,2,0), 0) + IFERROR(vlookup(F235,Data!$A$2:$B$4,2,0), 0)</f>
        <v>0</v>
      </c>
      <c r="H235" s="79"/>
    </row>
    <row r="236">
      <c r="A236" s="92"/>
      <c r="B236" s="79"/>
      <c r="C236" s="79"/>
      <c r="D236" s="43"/>
      <c r="E236" s="87"/>
      <c r="F236" s="87"/>
      <c r="G236" s="76">
        <f>IFERROR(vlookup(E236,Data!$A$2:$B$4,2,0), 0) + IFERROR(vlookup(F236,Data!$A$2:$B$4,2,0), 0)</f>
        <v>0</v>
      </c>
      <c r="H236" s="79"/>
    </row>
    <row r="237">
      <c r="A237" s="92"/>
      <c r="B237" s="79"/>
      <c r="C237" s="79"/>
      <c r="D237" s="43"/>
      <c r="E237" s="87"/>
      <c r="F237" s="87"/>
      <c r="G237" s="76">
        <f>IFERROR(vlookup(E237,Data!$A$2:$B$4,2,0), 0) + IFERROR(vlookup(F237,Data!$A$2:$B$4,2,0), 0)</f>
        <v>0</v>
      </c>
      <c r="H237" s="79"/>
    </row>
    <row r="238">
      <c r="A238" s="92"/>
      <c r="B238" s="79"/>
      <c r="C238" s="79"/>
      <c r="D238" s="43"/>
      <c r="E238" s="87"/>
      <c r="F238" s="87"/>
      <c r="G238" s="76">
        <f>IFERROR(vlookup(E238,Data!$A$2:$B$4,2,0), 0) + IFERROR(vlookup(F238,Data!$A$2:$B$4,2,0), 0)</f>
        <v>0</v>
      </c>
      <c r="H238" s="79"/>
    </row>
    <row r="239">
      <c r="A239" s="92"/>
      <c r="B239" s="79"/>
      <c r="C239" s="79"/>
      <c r="D239" s="43"/>
      <c r="E239" s="87"/>
      <c r="F239" s="87"/>
      <c r="G239" s="76">
        <f>IFERROR(vlookup(E239,Data!$A$2:$B$4,2,0), 0) + IFERROR(vlookup(F239,Data!$A$2:$B$4,2,0), 0)</f>
        <v>0</v>
      </c>
      <c r="H239" s="79"/>
    </row>
    <row r="240">
      <c r="A240" s="92"/>
      <c r="B240" s="79"/>
      <c r="C240" s="79"/>
      <c r="D240" s="43"/>
      <c r="E240" s="87"/>
      <c r="F240" s="87"/>
      <c r="G240" s="76">
        <f>IFERROR(vlookup(E240,Data!$A$2:$B$4,2,0), 0) + IFERROR(vlookup(F240,Data!$A$2:$B$4,2,0), 0)</f>
        <v>0</v>
      </c>
      <c r="H240" s="79"/>
    </row>
    <row r="241">
      <c r="A241" s="92"/>
      <c r="B241" s="79"/>
      <c r="C241" s="79"/>
      <c r="D241" s="43"/>
      <c r="E241" s="87"/>
      <c r="F241" s="87"/>
      <c r="G241" s="76">
        <f>IFERROR(vlookup(E241,Data!$A$2:$B$4,2,0), 0) + IFERROR(vlookup(F241,Data!$A$2:$B$4,2,0), 0)</f>
        <v>0</v>
      </c>
      <c r="H241" s="79"/>
    </row>
    <row r="242">
      <c r="A242" s="92"/>
      <c r="B242" s="79"/>
      <c r="C242" s="79"/>
      <c r="D242" s="43"/>
      <c r="E242" s="87"/>
      <c r="F242" s="87"/>
      <c r="G242" s="76">
        <f>IFERROR(vlookup(E242,Data!$A$2:$B$4,2,0), 0) + IFERROR(vlookup(F242,Data!$A$2:$B$4,2,0), 0)</f>
        <v>0</v>
      </c>
      <c r="H242" s="79"/>
    </row>
    <row r="243">
      <c r="A243" s="92"/>
      <c r="B243" s="79"/>
      <c r="C243" s="79"/>
      <c r="D243" s="43"/>
      <c r="E243" s="87"/>
      <c r="F243" s="87"/>
      <c r="G243" s="76">
        <f>IFERROR(vlookup(E243,Data!$A$2:$B$4,2,0), 0) + IFERROR(vlookup(F243,Data!$A$2:$B$4,2,0), 0)</f>
        <v>0</v>
      </c>
      <c r="H243" s="79"/>
    </row>
    <row r="244">
      <c r="A244" s="92"/>
      <c r="B244" s="79"/>
      <c r="C244" s="79"/>
      <c r="D244" s="43"/>
      <c r="E244" s="87"/>
      <c r="F244" s="87"/>
      <c r="G244" s="76">
        <f>IFERROR(vlookup(E244,Data!$A$2:$B$4,2,0), 0) + IFERROR(vlookup(F244,Data!$A$2:$B$4,2,0), 0)</f>
        <v>0</v>
      </c>
      <c r="H244" s="79"/>
    </row>
    <row r="245">
      <c r="A245" s="92"/>
      <c r="B245" s="79"/>
      <c r="C245" s="79"/>
      <c r="D245" s="43"/>
      <c r="E245" s="87"/>
      <c r="F245" s="87"/>
      <c r="G245" s="76">
        <f>IFERROR(vlookup(E245,Data!$A$2:$B$4,2,0), 0) + IFERROR(vlookup(F245,Data!$A$2:$B$4,2,0), 0)</f>
        <v>0</v>
      </c>
      <c r="H245" s="79"/>
    </row>
    <row r="246">
      <c r="A246" s="92"/>
      <c r="B246" s="79"/>
      <c r="C246" s="79"/>
      <c r="D246" s="43"/>
      <c r="E246" s="87"/>
      <c r="F246" s="87"/>
      <c r="G246" s="76">
        <f>IFERROR(vlookup(E246,Data!$A$2:$B$4,2,0), 0) + IFERROR(vlookup(F246,Data!$A$2:$B$4,2,0), 0)</f>
        <v>0</v>
      </c>
      <c r="H246" s="79"/>
    </row>
    <row r="247">
      <c r="A247" s="92"/>
      <c r="B247" s="79"/>
      <c r="C247" s="79"/>
      <c r="D247" s="43"/>
      <c r="E247" s="87"/>
      <c r="F247" s="87"/>
      <c r="G247" s="76">
        <f>IFERROR(vlookup(E247,Data!$A$2:$B$4,2,0), 0) + IFERROR(vlookup(F247,Data!$A$2:$B$4,2,0), 0)</f>
        <v>0</v>
      </c>
      <c r="H247" s="79"/>
    </row>
    <row r="248">
      <c r="A248" s="92"/>
      <c r="B248" s="79"/>
      <c r="C248" s="79"/>
      <c r="D248" s="43"/>
      <c r="E248" s="87"/>
      <c r="F248" s="87"/>
      <c r="G248" s="76">
        <f>IFERROR(vlookup(E248,Data!$A$2:$B$4,2,0), 0) + IFERROR(vlookup(F248,Data!$A$2:$B$4,2,0), 0)</f>
        <v>0</v>
      </c>
      <c r="H248" s="79"/>
    </row>
    <row r="249">
      <c r="A249" s="92"/>
      <c r="B249" s="79"/>
      <c r="C249" s="79"/>
      <c r="D249" s="43"/>
      <c r="E249" s="87"/>
      <c r="F249" s="87"/>
      <c r="G249" s="76">
        <f>IFERROR(vlookup(E249,Data!$A$2:$B$4,2,0), 0) + IFERROR(vlookup(F249,Data!$A$2:$B$4,2,0), 0)</f>
        <v>0</v>
      </c>
      <c r="H249" s="79"/>
    </row>
    <row r="250">
      <c r="A250" s="92"/>
      <c r="B250" s="79"/>
      <c r="C250" s="79"/>
      <c r="D250" s="43"/>
      <c r="E250" s="87"/>
      <c r="F250" s="87"/>
      <c r="G250" s="76">
        <f>IFERROR(vlookup(E250,Data!$A$2:$B$4,2,0), 0) + IFERROR(vlookup(F250,Data!$A$2:$B$4,2,0), 0)</f>
        <v>0</v>
      </c>
      <c r="H250" s="79"/>
    </row>
    <row r="251">
      <c r="A251" s="92"/>
      <c r="B251" s="79"/>
      <c r="C251" s="79"/>
      <c r="D251" s="43"/>
      <c r="E251" s="87"/>
      <c r="F251" s="87"/>
      <c r="G251" s="76">
        <f>IFERROR(vlookup(E251,Data!$A$2:$B$4,2,0), 0) + IFERROR(vlookup(F251,Data!$A$2:$B$4,2,0), 0)</f>
        <v>0</v>
      </c>
      <c r="H251" s="79"/>
    </row>
    <row r="252">
      <c r="A252" s="92"/>
      <c r="B252" s="79"/>
      <c r="C252" s="79"/>
      <c r="D252" s="43"/>
      <c r="E252" s="87"/>
      <c r="F252" s="87"/>
      <c r="G252" s="76">
        <f>IFERROR(vlookup(E252,Data!$A$2:$B$4,2,0), 0) + IFERROR(vlookup(F252,Data!$A$2:$B$4,2,0), 0)</f>
        <v>0</v>
      </c>
      <c r="H252" s="79"/>
    </row>
    <row r="253">
      <c r="A253" s="92"/>
      <c r="B253" s="79"/>
      <c r="C253" s="79"/>
      <c r="D253" s="43"/>
      <c r="E253" s="87"/>
      <c r="F253" s="87"/>
      <c r="G253" s="76">
        <f>IFERROR(vlookup(E253,Data!$A$2:$B$4,2,0), 0) + IFERROR(vlookup(F253,Data!$A$2:$B$4,2,0), 0)</f>
        <v>0</v>
      </c>
      <c r="H253" s="79"/>
    </row>
    <row r="254">
      <c r="A254" s="92"/>
      <c r="B254" s="79"/>
      <c r="C254" s="79"/>
      <c r="D254" s="43"/>
      <c r="E254" s="87"/>
      <c r="F254" s="87"/>
      <c r="G254" s="76">
        <f>IFERROR(vlookup(E254,Data!$A$2:$B$4,2,0), 0) + IFERROR(vlookup(F254,Data!$A$2:$B$4,2,0), 0)</f>
        <v>0</v>
      </c>
      <c r="H254" s="79"/>
    </row>
    <row r="255">
      <c r="A255" s="92"/>
      <c r="B255" s="79"/>
      <c r="C255" s="79"/>
      <c r="D255" s="43"/>
      <c r="E255" s="87"/>
      <c r="F255" s="87"/>
      <c r="G255" s="76">
        <f>IFERROR(vlookup(E255,Data!$A$2:$B$4,2,0), 0) + IFERROR(vlookup(F255,Data!$A$2:$B$4,2,0), 0)</f>
        <v>0</v>
      </c>
      <c r="H255" s="79"/>
    </row>
    <row r="256">
      <c r="A256" s="92"/>
      <c r="B256" s="79"/>
      <c r="C256" s="79"/>
      <c r="D256" s="43"/>
      <c r="E256" s="87"/>
      <c r="F256" s="87"/>
      <c r="G256" s="76">
        <f>IFERROR(vlookup(E256,Data!$A$2:$B$4,2,0), 0) + IFERROR(vlookup(F256,Data!$A$2:$B$4,2,0), 0)</f>
        <v>0</v>
      </c>
      <c r="H256" s="79"/>
    </row>
    <row r="257">
      <c r="A257" s="92"/>
      <c r="B257" s="79"/>
      <c r="C257" s="79"/>
      <c r="D257" s="43"/>
      <c r="E257" s="87"/>
      <c r="F257" s="87"/>
      <c r="G257" s="76">
        <f>IFERROR(vlookup(E257,Data!$A$2:$B$4,2,0), 0) + IFERROR(vlookup(F257,Data!$A$2:$B$4,2,0), 0)</f>
        <v>0</v>
      </c>
      <c r="H257" s="79"/>
    </row>
    <row r="258">
      <c r="A258" s="92"/>
      <c r="B258" s="79"/>
      <c r="C258" s="79"/>
      <c r="D258" s="43"/>
      <c r="E258" s="87"/>
      <c r="F258" s="87"/>
      <c r="G258" s="76">
        <f>IFERROR(vlookup(E258,Data!$A$2:$B$4,2,0), 0) + IFERROR(vlookup(F258,Data!$A$2:$B$4,2,0), 0)</f>
        <v>0</v>
      </c>
      <c r="H258" s="79"/>
    </row>
    <row r="259">
      <c r="A259" s="92"/>
      <c r="B259" s="79"/>
      <c r="C259" s="79"/>
      <c r="D259" s="43"/>
      <c r="E259" s="87"/>
      <c r="F259" s="87"/>
      <c r="G259" s="76">
        <f>IFERROR(vlookup(E259,Data!$A$2:$B$4,2,0), 0) + IFERROR(vlookup(F259,Data!$A$2:$B$4,2,0), 0)</f>
        <v>0</v>
      </c>
      <c r="H259" s="79"/>
    </row>
    <row r="260">
      <c r="A260" s="92"/>
      <c r="B260" s="79"/>
      <c r="C260" s="79"/>
      <c r="D260" s="43"/>
      <c r="E260" s="87"/>
      <c r="F260" s="87"/>
      <c r="G260" s="76">
        <f>IFERROR(vlookup(E260,Data!$A$2:$B$4,2,0), 0) + IFERROR(vlookup(F260,Data!$A$2:$B$4,2,0), 0)</f>
        <v>0</v>
      </c>
      <c r="H260" s="79"/>
    </row>
    <row r="261">
      <c r="A261" s="92"/>
      <c r="B261" s="79"/>
      <c r="C261" s="79"/>
      <c r="D261" s="43"/>
      <c r="E261" s="87"/>
      <c r="F261" s="87"/>
      <c r="G261" s="76">
        <f>IFERROR(vlookup(E261,Data!$A$2:$B$4,2,0), 0) + IFERROR(vlookup(F261,Data!$A$2:$B$4,2,0), 0)</f>
        <v>0</v>
      </c>
      <c r="H261" s="79"/>
    </row>
    <row r="262">
      <c r="A262" s="92"/>
      <c r="B262" s="79"/>
      <c r="C262" s="79"/>
      <c r="D262" s="43"/>
      <c r="E262" s="87"/>
      <c r="F262" s="87"/>
      <c r="G262" s="76">
        <f>IFERROR(vlookup(E262,Data!$A$2:$B$4,2,0), 0) + IFERROR(vlookup(F262,Data!$A$2:$B$4,2,0), 0)</f>
        <v>0</v>
      </c>
      <c r="H262" s="79"/>
    </row>
    <row r="263">
      <c r="A263" s="92"/>
      <c r="B263" s="79"/>
      <c r="C263" s="79"/>
      <c r="D263" s="43"/>
      <c r="E263" s="87"/>
      <c r="F263" s="87"/>
      <c r="G263" s="76">
        <f>IFERROR(vlookup(E263,Data!$A$2:$B$4,2,0), 0) + IFERROR(vlookup(F263,Data!$A$2:$B$4,2,0), 0)</f>
        <v>0</v>
      </c>
      <c r="H263" s="79"/>
    </row>
    <row r="264">
      <c r="A264" s="92"/>
      <c r="B264" s="79"/>
      <c r="C264" s="79"/>
      <c r="D264" s="43"/>
      <c r="E264" s="87"/>
      <c r="F264" s="87"/>
      <c r="G264" s="76">
        <f>IFERROR(vlookup(E264,Data!$A$2:$B$4,2,0), 0) + IFERROR(vlookup(F264,Data!$A$2:$B$4,2,0), 0)</f>
        <v>0</v>
      </c>
      <c r="H264" s="79"/>
    </row>
    <row r="265">
      <c r="A265" s="92"/>
      <c r="B265" s="79"/>
      <c r="C265" s="79"/>
      <c r="D265" s="43"/>
      <c r="E265" s="87"/>
      <c r="F265" s="87"/>
      <c r="G265" s="76">
        <f>IFERROR(vlookup(E265,Data!$A$2:$B$4,2,0), 0) + IFERROR(vlookup(F265,Data!$A$2:$B$4,2,0), 0)</f>
        <v>0</v>
      </c>
      <c r="H265" s="79"/>
    </row>
    <row r="266">
      <c r="A266" s="92"/>
      <c r="B266" s="79"/>
      <c r="C266" s="79"/>
      <c r="D266" s="43"/>
      <c r="E266" s="87"/>
      <c r="F266" s="87"/>
      <c r="G266" s="76">
        <f>IFERROR(vlookup(E266,Data!$A$2:$B$4,2,0), 0) + IFERROR(vlookup(F266,Data!$A$2:$B$4,2,0), 0)</f>
        <v>0</v>
      </c>
      <c r="H266" s="79"/>
    </row>
    <row r="267">
      <c r="A267" s="92"/>
      <c r="B267" s="79"/>
      <c r="C267" s="79"/>
      <c r="D267" s="43"/>
      <c r="E267" s="87"/>
      <c r="F267" s="87"/>
      <c r="G267" s="76">
        <f>IFERROR(vlookup(E267,Data!$A$2:$B$4,2,0), 0) + IFERROR(vlookup(F267,Data!$A$2:$B$4,2,0), 0)</f>
        <v>0</v>
      </c>
      <c r="H267" s="79"/>
    </row>
    <row r="268">
      <c r="A268" s="92"/>
      <c r="B268" s="79"/>
      <c r="C268" s="79"/>
      <c r="D268" s="43"/>
      <c r="E268" s="87"/>
      <c r="F268" s="87"/>
      <c r="G268" s="76">
        <f>IFERROR(vlookup(E268,Data!$A$2:$B$4,2,0), 0) + IFERROR(vlookup(F268,Data!$A$2:$B$4,2,0), 0)</f>
        <v>0</v>
      </c>
      <c r="H268" s="79"/>
    </row>
    <row r="269">
      <c r="A269" s="92"/>
      <c r="B269" s="79"/>
      <c r="C269" s="79"/>
      <c r="D269" s="43"/>
      <c r="E269" s="87"/>
      <c r="F269" s="87"/>
      <c r="G269" s="76">
        <f>IFERROR(vlookup(E269,Data!$A$2:$B$4,2,0), 0) + IFERROR(vlookup(F269,Data!$A$2:$B$4,2,0), 0)</f>
        <v>0</v>
      </c>
      <c r="H269" s="79"/>
    </row>
    <row r="270">
      <c r="A270" s="92"/>
      <c r="B270" s="79"/>
      <c r="C270" s="79"/>
      <c r="D270" s="43"/>
      <c r="E270" s="87"/>
      <c r="F270" s="87"/>
      <c r="G270" s="76">
        <f>IFERROR(vlookup(E270,Data!$A$2:$B$4,2,0), 0) + IFERROR(vlookup(F270,Data!$A$2:$B$4,2,0), 0)</f>
        <v>0</v>
      </c>
      <c r="H270" s="79"/>
    </row>
    <row r="271">
      <c r="A271" s="92"/>
      <c r="B271" s="79"/>
      <c r="C271" s="79"/>
      <c r="D271" s="43"/>
      <c r="E271" s="87"/>
      <c r="F271" s="87"/>
      <c r="G271" s="76">
        <f>IFERROR(vlookup(E271,Data!$A$2:$B$4,2,0), 0) + IFERROR(vlookup(F271,Data!$A$2:$B$4,2,0), 0)</f>
        <v>0</v>
      </c>
      <c r="H271" s="79"/>
    </row>
    <row r="272">
      <c r="A272" s="92"/>
      <c r="B272" s="79"/>
      <c r="C272" s="79"/>
      <c r="D272" s="43"/>
      <c r="E272" s="87"/>
      <c r="F272" s="87"/>
      <c r="G272" s="76">
        <f>IFERROR(vlookup(E272,Data!$A$2:$B$4,2,0), 0) + IFERROR(vlookup(F272,Data!$A$2:$B$4,2,0), 0)</f>
        <v>0</v>
      </c>
      <c r="H272" s="79"/>
    </row>
    <row r="273">
      <c r="A273" s="92"/>
      <c r="B273" s="79"/>
      <c r="C273" s="79"/>
      <c r="D273" s="43"/>
      <c r="E273" s="87"/>
      <c r="F273" s="87"/>
      <c r="G273" s="76">
        <f>IFERROR(vlookup(E273,Data!$A$2:$B$4,2,0), 0) + IFERROR(vlookup(F273,Data!$A$2:$B$4,2,0), 0)</f>
        <v>0</v>
      </c>
      <c r="H273" s="79"/>
    </row>
    <row r="274">
      <c r="A274" s="92"/>
      <c r="B274" s="79"/>
      <c r="C274" s="79"/>
      <c r="D274" s="43"/>
      <c r="E274" s="87"/>
      <c r="F274" s="87"/>
      <c r="G274" s="76">
        <f>IFERROR(vlookup(E274,Data!$A$2:$B$4,2,0), 0) + IFERROR(vlookup(F274,Data!$A$2:$B$4,2,0), 0)</f>
        <v>0</v>
      </c>
      <c r="H274" s="79"/>
    </row>
    <row r="275">
      <c r="A275" s="92"/>
      <c r="B275" s="79"/>
      <c r="C275" s="79"/>
      <c r="D275" s="43"/>
      <c r="E275" s="87"/>
      <c r="F275" s="87"/>
      <c r="G275" s="76">
        <f>IFERROR(vlookup(E275,Data!$A$2:$B$4,2,0), 0) + IFERROR(vlookup(F275,Data!$A$2:$B$4,2,0), 0)</f>
        <v>0</v>
      </c>
      <c r="H275" s="79"/>
    </row>
    <row r="276">
      <c r="A276" s="92"/>
      <c r="B276" s="79"/>
      <c r="C276" s="79"/>
      <c r="D276" s="43"/>
      <c r="E276" s="87"/>
      <c r="F276" s="87"/>
      <c r="G276" s="76">
        <f>IFERROR(vlookup(E276,Data!$A$2:$B$4,2,0), 0) + IFERROR(vlookup(F276,Data!$A$2:$B$4,2,0), 0)</f>
        <v>0</v>
      </c>
      <c r="H276" s="79"/>
    </row>
    <row r="277">
      <c r="A277" s="92"/>
      <c r="B277" s="79"/>
      <c r="C277" s="79"/>
      <c r="D277" s="43"/>
      <c r="E277" s="87"/>
      <c r="F277" s="87"/>
      <c r="G277" s="76">
        <f>IFERROR(vlookup(E277,Data!$A$2:$B$4,2,0), 0) + IFERROR(vlookup(F277,Data!$A$2:$B$4,2,0), 0)</f>
        <v>0</v>
      </c>
      <c r="H277" s="79"/>
    </row>
    <row r="278">
      <c r="A278" s="92"/>
      <c r="B278" s="79"/>
      <c r="C278" s="79"/>
      <c r="D278" s="43"/>
      <c r="E278" s="87"/>
      <c r="F278" s="87"/>
      <c r="G278" s="76">
        <f>IFERROR(vlookup(E278,Data!$A$2:$B$4,2,0), 0) + IFERROR(vlookup(F278,Data!$A$2:$B$4,2,0), 0)</f>
        <v>0</v>
      </c>
      <c r="H278" s="79"/>
    </row>
    <row r="279">
      <c r="A279" s="92"/>
      <c r="B279" s="79"/>
      <c r="C279" s="79"/>
      <c r="D279" s="43"/>
      <c r="E279" s="87"/>
      <c r="F279" s="87"/>
      <c r="G279" s="76">
        <f>IFERROR(vlookup(E279,Data!$A$2:$B$4,2,0), 0) + IFERROR(vlookup(F279,Data!$A$2:$B$4,2,0), 0)</f>
        <v>0</v>
      </c>
      <c r="H279" s="79"/>
    </row>
    <row r="280">
      <c r="A280" s="92"/>
      <c r="B280" s="79"/>
      <c r="C280" s="79"/>
      <c r="D280" s="43"/>
      <c r="E280" s="87"/>
      <c r="F280" s="87"/>
      <c r="G280" s="76">
        <f>IFERROR(vlookup(E280,Data!$A$2:$B$4,2,0), 0) + IFERROR(vlookup(F280,Data!$A$2:$B$4,2,0), 0)</f>
        <v>0</v>
      </c>
      <c r="H280" s="79"/>
    </row>
    <row r="281">
      <c r="A281" s="92"/>
      <c r="B281" s="79"/>
      <c r="C281" s="79"/>
      <c r="D281" s="43"/>
      <c r="E281" s="87"/>
      <c r="F281" s="87"/>
      <c r="G281" s="76">
        <f>IFERROR(vlookup(E281,Data!$A$2:$B$4,2,0), 0) + IFERROR(vlookup(F281,Data!$A$2:$B$4,2,0), 0)</f>
        <v>0</v>
      </c>
      <c r="H281" s="79"/>
    </row>
    <row r="282">
      <c r="A282" s="92"/>
      <c r="B282" s="79"/>
      <c r="C282" s="79"/>
      <c r="D282" s="43"/>
      <c r="E282" s="87"/>
      <c r="F282" s="87"/>
      <c r="G282" s="76">
        <f>IFERROR(vlookup(E282,Data!$A$2:$B$4,2,0), 0) + IFERROR(vlookup(F282,Data!$A$2:$B$4,2,0), 0)</f>
        <v>0</v>
      </c>
      <c r="H282" s="79"/>
    </row>
    <row r="283">
      <c r="A283" s="92"/>
      <c r="B283" s="79"/>
      <c r="C283" s="79"/>
      <c r="D283" s="43"/>
      <c r="E283" s="87"/>
      <c r="F283" s="87"/>
      <c r="G283" s="76">
        <f>IFERROR(vlookup(E283,Data!$A$2:$B$4,2,0), 0) + IFERROR(vlookup(F283,Data!$A$2:$B$4,2,0), 0)</f>
        <v>0</v>
      </c>
      <c r="H283" s="79"/>
    </row>
    <row r="284">
      <c r="A284" s="92"/>
      <c r="B284" s="79"/>
      <c r="C284" s="79"/>
      <c r="D284" s="43"/>
      <c r="E284" s="87"/>
      <c r="F284" s="87"/>
      <c r="G284" s="76">
        <f>IFERROR(vlookup(E284,Data!$A$2:$B$4,2,0), 0) + IFERROR(vlookup(F284,Data!$A$2:$B$4,2,0), 0)</f>
        <v>0</v>
      </c>
      <c r="H284" s="79"/>
    </row>
    <row r="285">
      <c r="A285" s="92"/>
      <c r="B285" s="79"/>
      <c r="C285" s="79"/>
      <c r="D285" s="43"/>
      <c r="E285" s="87"/>
      <c r="F285" s="87"/>
      <c r="G285" s="76">
        <f>IFERROR(vlookup(E285,Data!$A$2:$B$4,2,0), 0) + IFERROR(vlookup(F285,Data!$A$2:$B$4,2,0), 0)</f>
        <v>0</v>
      </c>
      <c r="H285" s="79"/>
    </row>
    <row r="286">
      <c r="A286" s="92"/>
      <c r="B286" s="79"/>
      <c r="C286" s="79"/>
      <c r="D286" s="43"/>
      <c r="E286" s="87"/>
      <c r="F286" s="87"/>
      <c r="G286" s="76">
        <f>IFERROR(vlookup(E286,Data!$A$2:$B$4,2,0), 0) + IFERROR(vlookup(F286,Data!$A$2:$B$4,2,0), 0)</f>
        <v>0</v>
      </c>
      <c r="H286" s="79"/>
    </row>
    <row r="287">
      <c r="A287" s="92"/>
      <c r="B287" s="79"/>
      <c r="C287" s="79"/>
      <c r="D287" s="43"/>
      <c r="E287" s="87"/>
      <c r="F287" s="87"/>
      <c r="G287" s="76">
        <f>IFERROR(vlookup(E287,Data!$A$2:$B$4,2,0), 0) + IFERROR(vlookup(F287,Data!$A$2:$B$4,2,0), 0)</f>
        <v>0</v>
      </c>
      <c r="H287" s="79"/>
    </row>
    <row r="288">
      <c r="A288" s="92"/>
      <c r="B288" s="79"/>
      <c r="C288" s="79"/>
      <c r="D288" s="43"/>
      <c r="E288" s="87"/>
      <c r="F288" s="87"/>
      <c r="G288" s="76">
        <f>IFERROR(vlookup(E288,Data!$A$2:$B$4,2,0), 0) + IFERROR(vlookup(F288,Data!$A$2:$B$4,2,0), 0)</f>
        <v>0</v>
      </c>
      <c r="H288" s="79"/>
    </row>
    <row r="289">
      <c r="A289" s="92"/>
      <c r="B289" s="79"/>
      <c r="C289" s="79"/>
      <c r="D289" s="43"/>
      <c r="E289" s="87"/>
      <c r="F289" s="87"/>
      <c r="G289" s="76">
        <f>IFERROR(vlookup(E289,Data!$A$2:$B$4,2,0), 0) + IFERROR(vlookup(F289,Data!$A$2:$B$4,2,0), 0)</f>
        <v>0</v>
      </c>
      <c r="H289" s="79"/>
    </row>
    <row r="290">
      <c r="A290" s="92"/>
      <c r="B290" s="79"/>
      <c r="C290" s="79"/>
      <c r="D290" s="43"/>
      <c r="E290" s="87"/>
      <c r="F290" s="87"/>
      <c r="G290" s="76">
        <f>IFERROR(vlookup(E290,Data!$A$2:$B$4,2,0), 0) + IFERROR(vlookup(F290,Data!$A$2:$B$4,2,0), 0)</f>
        <v>0</v>
      </c>
      <c r="H290" s="79"/>
    </row>
    <row r="291">
      <c r="A291" s="92"/>
      <c r="B291" s="79"/>
      <c r="C291" s="79"/>
      <c r="D291" s="43"/>
      <c r="E291" s="87"/>
      <c r="F291" s="87"/>
      <c r="G291" s="76">
        <f>IFERROR(vlookup(E291,Data!$A$2:$B$4,2,0), 0) + IFERROR(vlookup(F291,Data!$A$2:$B$4,2,0), 0)</f>
        <v>0</v>
      </c>
      <c r="H291" s="79"/>
    </row>
    <row r="292">
      <c r="A292" s="92"/>
      <c r="B292" s="79"/>
      <c r="C292" s="79"/>
      <c r="D292" s="43"/>
      <c r="E292" s="87"/>
      <c r="F292" s="87"/>
      <c r="G292" s="76">
        <f>IFERROR(vlookup(E292,Data!$A$2:$B$4,2,0), 0) + IFERROR(vlookup(F292,Data!$A$2:$B$4,2,0), 0)</f>
        <v>0</v>
      </c>
      <c r="H292" s="79"/>
    </row>
    <row r="293">
      <c r="A293" s="92"/>
      <c r="B293" s="79"/>
      <c r="C293" s="79"/>
      <c r="D293" s="43"/>
      <c r="E293" s="87"/>
      <c r="F293" s="87"/>
      <c r="G293" s="76">
        <f>IFERROR(vlookup(E293,Data!$A$2:$B$4,2,0), 0) + IFERROR(vlookup(F293,Data!$A$2:$B$4,2,0), 0)</f>
        <v>0</v>
      </c>
      <c r="H293" s="79"/>
    </row>
    <row r="294">
      <c r="A294" s="92"/>
      <c r="B294" s="79"/>
      <c r="C294" s="79"/>
      <c r="D294" s="43"/>
      <c r="E294" s="87"/>
      <c r="F294" s="87"/>
      <c r="G294" s="76">
        <f>IFERROR(vlookup(E294,Data!$A$2:$B$4,2,0), 0) + IFERROR(vlookup(F294,Data!$A$2:$B$4,2,0), 0)</f>
        <v>0</v>
      </c>
      <c r="H294" s="79"/>
    </row>
    <row r="295">
      <c r="A295" s="92"/>
      <c r="B295" s="79"/>
      <c r="C295" s="79"/>
      <c r="D295" s="43"/>
      <c r="E295" s="87"/>
      <c r="F295" s="87"/>
      <c r="G295" s="76">
        <f>IFERROR(vlookup(E295,Data!$A$2:$B$4,2,0), 0) + IFERROR(vlookup(F295,Data!$A$2:$B$4,2,0), 0)</f>
        <v>0</v>
      </c>
      <c r="H295" s="79"/>
    </row>
    <row r="296">
      <c r="A296" s="92"/>
      <c r="B296" s="79"/>
      <c r="C296" s="79"/>
      <c r="D296" s="43"/>
      <c r="E296" s="87"/>
      <c r="F296" s="87"/>
      <c r="G296" s="76">
        <f>IFERROR(vlookup(E296,Data!$A$2:$B$4,2,0), 0) + IFERROR(vlookup(F296,Data!$A$2:$B$4,2,0), 0)</f>
        <v>0</v>
      </c>
      <c r="H296" s="79"/>
    </row>
    <row r="297">
      <c r="A297" s="92"/>
      <c r="B297" s="79"/>
      <c r="C297" s="79"/>
      <c r="D297" s="43"/>
      <c r="E297" s="87"/>
      <c r="F297" s="87"/>
      <c r="G297" s="76">
        <f>IFERROR(vlookup(E297,Data!$A$2:$B$4,2,0), 0) + IFERROR(vlookup(F297,Data!$A$2:$B$4,2,0), 0)</f>
        <v>0</v>
      </c>
      <c r="H297" s="79"/>
    </row>
    <row r="298">
      <c r="A298" s="92"/>
      <c r="B298" s="79"/>
      <c r="C298" s="79"/>
      <c r="D298" s="43"/>
      <c r="E298" s="87"/>
      <c r="F298" s="87"/>
      <c r="G298" s="76">
        <f>IFERROR(vlookup(E298,Data!$A$2:$B$4,2,0), 0) + IFERROR(vlookup(F298,Data!$A$2:$B$4,2,0), 0)</f>
        <v>0</v>
      </c>
      <c r="H298" s="79"/>
    </row>
    <row r="299">
      <c r="A299" s="92"/>
      <c r="B299" s="79"/>
      <c r="C299" s="79"/>
      <c r="D299" s="43"/>
      <c r="E299" s="87"/>
      <c r="F299" s="87"/>
      <c r="G299" s="76">
        <f>IFERROR(vlookup(E299,Data!$A$2:$B$4,2,0), 0) + IFERROR(vlookup(F299,Data!$A$2:$B$4,2,0), 0)</f>
        <v>0</v>
      </c>
      <c r="H299" s="79"/>
    </row>
    <row r="300">
      <c r="A300" s="92"/>
      <c r="B300" s="79"/>
      <c r="C300" s="79"/>
      <c r="D300" s="43"/>
      <c r="E300" s="87"/>
      <c r="F300" s="87"/>
      <c r="G300" s="76">
        <f>IFERROR(vlookup(E300,Data!$A$2:$B$4,2,0), 0) + IFERROR(vlookup(F300,Data!$A$2:$B$4,2,0), 0)</f>
        <v>0</v>
      </c>
      <c r="H300" s="79"/>
    </row>
    <row r="301">
      <c r="A301" s="92"/>
      <c r="B301" s="79"/>
      <c r="C301" s="79"/>
      <c r="D301" s="43"/>
      <c r="E301" s="87"/>
      <c r="F301" s="87"/>
      <c r="G301" s="76">
        <f>IFERROR(vlookup(E301,Data!$A$2:$B$4,2,0), 0) + IFERROR(vlookup(F301,Data!$A$2:$B$4,2,0), 0)</f>
        <v>0</v>
      </c>
      <c r="H301" s="79"/>
    </row>
    <row r="302">
      <c r="A302" s="92"/>
      <c r="B302" s="79"/>
      <c r="C302" s="79"/>
      <c r="D302" s="43"/>
      <c r="E302" s="87"/>
      <c r="F302" s="87"/>
      <c r="G302" s="76">
        <f>IFERROR(vlookup(E302,Data!$A$2:$B$4,2,0), 0) + IFERROR(vlookup(F302,Data!$A$2:$B$4,2,0), 0)</f>
        <v>0</v>
      </c>
      <c r="H302" s="79"/>
    </row>
    <row r="303">
      <c r="A303" s="92"/>
      <c r="B303" s="79"/>
      <c r="C303" s="79"/>
      <c r="D303" s="43"/>
      <c r="E303" s="87"/>
      <c r="F303" s="87"/>
      <c r="G303" s="76">
        <f>IFERROR(vlookup(E303,Data!$A$2:$B$4,2,0), 0) + IFERROR(vlookup(F303,Data!$A$2:$B$4,2,0), 0)</f>
        <v>0</v>
      </c>
      <c r="H303" s="79"/>
    </row>
    <row r="304">
      <c r="A304" s="92"/>
      <c r="B304" s="79"/>
      <c r="C304" s="79"/>
      <c r="D304" s="43"/>
      <c r="E304" s="87"/>
      <c r="F304" s="87"/>
      <c r="G304" s="76">
        <f>IFERROR(vlookup(E304,Data!$A$2:$B$4,2,0), 0) + IFERROR(vlookup(F304,Data!$A$2:$B$4,2,0), 0)</f>
        <v>0</v>
      </c>
      <c r="H304" s="79"/>
    </row>
    <row r="305">
      <c r="A305" s="92"/>
      <c r="B305" s="79"/>
      <c r="C305" s="79"/>
      <c r="D305" s="43"/>
      <c r="E305" s="87"/>
      <c r="F305" s="87"/>
      <c r="G305" s="76">
        <f>IFERROR(vlookup(E305,Data!$A$2:$B$4,2,0), 0) + IFERROR(vlookup(F305,Data!$A$2:$B$4,2,0), 0)</f>
        <v>0</v>
      </c>
      <c r="H305" s="79"/>
    </row>
    <row r="306">
      <c r="A306" s="92"/>
      <c r="B306" s="79"/>
      <c r="C306" s="79"/>
      <c r="D306" s="43"/>
      <c r="E306" s="87"/>
      <c r="F306" s="87"/>
      <c r="G306" s="76">
        <f>IFERROR(vlookup(E306,Data!$A$2:$B$4,2,0), 0) + IFERROR(vlookup(F306,Data!$A$2:$B$4,2,0), 0)</f>
        <v>0</v>
      </c>
      <c r="H306" s="79"/>
    </row>
    <row r="307">
      <c r="A307" s="92"/>
      <c r="B307" s="79"/>
      <c r="C307" s="79"/>
      <c r="D307" s="43"/>
      <c r="E307" s="87"/>
      <c r="F307" s="87"/>
      <c r="G307" s="76">
        <f>IFERROR(vlookup(E307,Data!$A$2:$B$4,2,0), 0) + IFERROR(vlookup(F307,Data!$A$2:$B$4,2,0), 0)</f>
        <v>0</v>
      </c>
      <c r="H307" s="79"/>
    </row>
    <row r="308">
      <c r="A308" s="92"/>
      <c r="B308" s="79"/>
      <c r="C308" s="79"/>
      <c r="D308" s="43"/>
      <c r="E308" s="87"/>
      <c r="F308" s="87"/>
      <c r="G308" s="76">
        <f>IFERROR(vlookup(E308,Data!$A$2:$B$4,2,0), 0) + IFERROR(vlookup(F308,Data!$A$2:$B$4,2,0), 0)</f>
        <v>0</v>
      </c>
      <c r="H308" s="79"/>
    </row>
    <row r="309">
      <c r="A309" s="92"/>
      <c r="B309" s="79"/>
      <c r="C309" s="79"/>
      <c r="D309" s="43"/>
      <c r="E309" s="87"/>
      <c r="F309" s="87"/>
      <c r="G309" s="76">
        <f>IFERROR(vlookup(E309,Data!$A$2:$B$4,2,0), 0) + IFERROR(vlookup(F309,Data!$A$2:$B$4,2,0), 0)</f>
        <v>0</v>
      </c>
      <c r="H309" s="79"/>
    </row>
    <row r="310">
      <c r="A310" s="92"/>
      <c r="B310" s="79"/>
      <c r="C310" s="79"/>
      <c r="D310" s="43"/>
      <c r="E310" s="87"/>
      <c r="F310" s="87"/>
      <c r="G310" s="76">
        <f>IFERROR(vlookup(E310,Data!$A$2:$B$4,2,0), 0) + IFERROR(vlookup(F310,Data!$A$2:$B$4,2,0), 0)</f>
        <v>0</v>
      </c>
      <c r="H310" s="79"/>
    </row>
    <row r="311">
      <c r="A311" s="92"/>
      <c r="B311" s="79"/>
      <c r="C311" s="79"/>
      <c r="D311" s="43"/>
      <c r="E311" s="87"/>
      <c r="F311" s="87"/>
      <c r="G311" s="76">
        <f>IFERROR(vlookup(E311,Data!$A$2:$B$4,2,0), 0) + IFERROR(vlookup(F311,Data!$A$2:$B$4,2,0), 0)</f>
        <v>0</v>
      </c>
      <c r="H311" s="79"/>
    </row>
    <row r="312">
      <c r="A312" s="92"/>
      <c r="B312" s="79"/>
      <c r="C312" s="79"/>
      <c r="D312" s="43"/>
      <c r="E312" s="87"/>
      <c r="F312" s="87"/>
      <c r="G312" s="76">
        <f>IFERROR(vlookup(E312,Data!$A$2:$B$4,2,0), 0) + IFERROR(vlookup(F312,Data!$A$2:$B$4,2,0), 0)</f>
        <v>0</v>
      </c>
      <c r="H312" s="79"/>
    </row>
    <row r="313">
      <c r="A313" s="92"/>
      <c r="B313" s="79"/>
      <c r="C313" s="79"/>
      <c r="D313" s="43"/>
      <c r="E313" s="87"/>
      <c r="F313" s="87"/>
      <c r="G313" s="76">
        <f>IFERROR(vlookup(E313,Data!$A$2:$B$4,2,0), 0) + IFERROR(vlookup(F313,Data!$A$2:$B$4,2,0), 0)</f>
        <v>0</v>
      </c>
      <c r="H313" s="79"/>
    </row>
    <row r="314">
      <c r="A314" s="92"/>
      <c r="B314" s="79"/>
      <c r="C314" s="79"/>
      <c r="D314" s="43"/>
      <c r="E314" s="87"/>
      <c r="F314" s="87"/>
      <c r="G314" s="76">
        <f>IFERROR(vlookup(E314,Data!$A$2:$B$4,2,0), 0) + IFERROR(vlookup(F314,Data!$A$2:$B$4,2,0), 0)</f>
        <v>0</v>
      </c>
      <c r="H314" s="79"/>
    </row>
    <row r="315">
      <c r="A315" s="92"/>
      <c r="B315" s="79"/>
      <c r="C315" s="79"/>
      <c r="D315" s="43"/>
      <c r="E315" s="87"/>
      <c r="F315" s="87"/>
      <c r="G315" s="76">
        <f>IFERROR(vlookup(E315,Data!$A$2:$B$4,2,0), 0) + IFERROR(vlookup(F315,Data!$A$2:$B$4,2,0), 0)</f>
        <v>0</v>
      </c>
      <c r="H315" s="79"/>
    </row>
    <row r="316">
      <c r="A316" s="92"/>
      <c r="B316" s="79"/>
      <c r="C316" s="79"/>
      <c r="D316" s="43"/>
      <c r="E316" s="87"/>
      <c r="F316" s="87"/>
      <c r="G316" s="76">
        <f>IFERROR(vlookup(E316,Data!$A$2:$B$4,2,0), 0) + IFERROR(vlookup(F316,Data!$A$2:$B$4,2,0), 0)</f>
        <v>0</v>
      </c>
      <c r="H316" s="79"/>
    </row>
    <row r="317">
      <c r="A317" s="92"/>
      <c r="B317" s="79"/>
      <c r="C317" s="79"/>
      <c r="D317" s="43"/>
      <c r="E317" s="87"/>
      <c r="F317" s="87"/>
      <c r="G317" s="76">
        <f>IFERROR(vlookup(E317,Data!$A$2:$B$4,2,0), 0) + IFERROR(vlookup(F317,Data!$A$2:$B$4,2,0), 0)</f>
        <v>0</v>
      </c>
      <c r="H317" s="79"/>
    </row>
    <row r="318">
      <c r="A318" s="92"/>
      <c r="B318" s="79"/>
      <c r="C318" s="79"/>
      <c r="D318" s="43"/>
      <c r="E318" s="87"/>
      <c r="F318" s="87"/>
      <c r="G318" s="76">
        <f>IFERROR(vlookup(E318,Data!$A$2:$B$4,2,0), 0) + IFERROR(vlookup(F318,Data!$A$2:$B$4,2,0), 0)</f>
        <v>0</v>
      </c>
      <c r="H318" s="79"/>
    </row>
    <row r="319">
      <c r="A319" s="92"/>
      <c r="B319" s="79"/>
      <c r="C319" s="79"/>
      <c r="D319" s="43"/>
      <c r="E319" s="87"/>
      <c r="F319" s="87"/>
      <c r="G319" s="76">
        <f>IFERROR(vlookup(E319,Data!$A$2:$B$4,2,0), 0) + IFERROR(vlookup(F319,Data!$A$2:$B$4,2,0), 0)</f>
        <v>0</v>
      </c>
      <c r="H319" s="79"/>
    </row>
    <row r="320">
      <c r="A320" s="92"/>
      <c r="B320" s="79"/>
      <c r="C320" s="79"/>
      <c r="D320" s="43"/>
      <c r="E320" s="87"/>
      <c r="F320" s="87"/>
      <c r="G320" s="76">
        <f>IFERROR(vlookup(E320,Data!$A$2:$B$4,2,0), 0) + IFERROR(vlookup(F320,Data!$A$2:$B$4,2,0), 0)</f>
        <v>0</v>
      </c>
      <c r="H320" s="79"/>
    </row>
    <row r="321">
      <c r="A321" s="92"/>
      <c r="B321" s="79"/>
      <c r="C321" s="79"/>
      <c r="D321" s="43"/>
      <c r="E321" s="87"/>
      <c r="F321" s="87"/>
      <c r="G321" s="76">
        <f>IFERROR(vlookup(E321,Data!$A$2:$B$4,2,0), 0) + IFERROR(vlookup(F321,Data!$A$2:$B$4,2,0), 0)</f>
        <v>0</v>
      </c>
      <c r="H321" s="79"/>
    </row>
    <row r="322">
      <c r="A322" s="92"/>
      <c r="B322" s="79"/>
      <c r="C322" s="79"/>
      <c r="D322" s="43"/>
      <c r="E322" s="87"/>
      <c r="F322" s="87"/>
      <c r="G322" s="76">
        <f>IFERROR(vlookup(E322,Data!$A$2:$B$4,2,0), 0) + IFERROR(vlookup(F322,Data!$A$2:$B$4,2,0), 0)</f>
        <v>0</v>
      </c>
      <c r="H322" s="79"/>
    </row>
    <row r="323">
      <c r="A323" s="92"/>
      <c r="B323" s="79"/>
      <c r="C323" s="79"/>
      <c r="D323" s="43"/>
      <c r="E323" s="87"/>
      <c r="F323" s="87"/>
      <c r="G323" s="76">
        <f>IFERROR(vlookup(E323,Data!$A$2:$B$4,2,0), 0) + IFERROR(vlookup(F323,Data!$A$2:$B$4,2,0), 0)</f>
        <v>0</v>
      </c>
      <c r="H323" s="79"/>
    </row>
    <row r="324">
      <c r="A324" s="92"/>
      <c r="B324" s="79"/>
      <c r="C324" s="79"/>
      <c r="D324" s="43"/>
      <c r="E324" s="87"/>
      <c r="F324" s="87"/>
      <c r="G324" s="76">
        <f>IFERROR(vlookup(E324,Data!$A$2:$B$4,2,0), 0) + IFERROR(vlookup(F324,Data!$A$2:$B$4,2,0), 0)</f>
        <v>0</v>
      </c>
      <c r="H324" s="79"/>
    </row>
    <row r="325">
      <c r="A325" s="92"/>
      <c r="B325" s="79"/>
      <c r="C325" s="79"/>
      <c r="D325" s="43"/>
      <c r="E325" s="87"/>
      <c r="F325" s="87"/>
      <c r="G325" s="76">
        <f>IFERROR(vlookup(E325,Data!$A$2:$B$4,2,0), 0) + IFERROR(vlookup(F325,Data!$A$2:$B$4,2,0), 0)</f>
        <v>0</v>
      </c>
      <c r="H325" s="79"/>
    </row>
    <row r="326">
      <c r="A326" s="92"/>
      <c r="B326" s="79"/>
      <c r="C326" s="79"/>
      <c r="D326" s="43"/>
      <c r="E326" s="87"/>
      <c r="F326" s="87"/>
      <c r="G326" s="76">
        <f>IFERROR(vlookup(E326,Data!$A$2:$B$4,2,0), 0) + IFERROR(vlookup(F326,Data!$A$2:$B$4,2,0), 0)</f>
        <v>0</v>
      </c>
      <c r="H326" s="79"/>
    </row>
    <row r="327">
      <c r="A327" s="92"/>
      <c r="B327" s="79"/>
      <c r="C327" s="79"/>
      <c r="D327" s="43"/>
      <c r="E327" s="87"/>
      <c r="F327" s="87"/>
      <c r="G327" s="76">
        <f>IFERROR(vlookup(E327,Data!$A$2:$B$4,2,0), 0) + IFERROR(vlookup(F327,Data!$A$2:$B$4,2,0), 0)</f>
        <v>0</v>
      </c>
      <c r="H327" s="79"/>
    </row>
    <row r="328">
      <c r="A328" s="92"/>
      <c r="B328" s="79"/>
      <c r="C328" s="79"/>
      <c r="D328" s="43"/>
      <c r="E328" s="87"/>
      <c r="F328" s="87"/>
      <c r="G328" s="76">
        <f>IFERROR(vlookup(E328,Data!$A$2:$B$4,2,0), 0) + IFERROR(vlookup(F328,Data!$A$2:$B$4,2,0), 0)</f>
        <v>0</v>
      </c>
      <c r="H328" s="79"/>
    </row>
    <row r="329">
      <c r="A329" s="92"/>
      <c r="B329" s="79"/>
      <c r="C329" s="79"/>
      <c r="D329" s="43"/>
      <c r="E329" s="87"/>
      <c r="F329" s="87"/>
      <c r="G329" s="76">
        <f>IFERROR(vlookup(E329,Data!$A$2:$B$4,2,0), 0) + IFERROR(vlookup(F329,Data!$A$2:$B$4,2,0), 0)</f>
        <v>0</v>
      </c>
      <c r="H329" s="79"/>
    </row>
    <row r="330">
      <c r="A330" s="92"/>
      <c r="B330" s="79"/>
      <c r="C330" s="79"/>
      <c r="D330" s="43"/>
      <c r="E330" s="87"/>
      <c r="F330" s="87"/>
      <c r="G330" s="76">
        <f>IFERROR(vlookup(E330,Data!$A$2:$B$4,2,0), 0) + IFERROR(vlookup(F330,Data!$A$2:$B$4,2,0), 0)</f>
        <v>0</v>
      </c>
      <c r="H330" s="79"/>
    </row>
    <row r="331">
      <c r="A331" s="92"/>
      <c r="B331" s="79"/>
      <c r="C331" s="79"/>
      <c r="D331" s="43"/>
      <c r="E331" s="87"/>
      <c r="F331" s="87"/>
      <c r="G331" s="76">
        <f>IFERROR(vlookup(E331,Data!$A$2:$B$4,2,0), 0) + IFERROR(vlookup(F331,Data!$A$2:$B$4,2,0), 0)</f>
        <v>0</v>
      </c>
      <c r="H331" s="79"/>
    </row>
    <row r="332">
      <c r="A332" s="92"/>
      <c r="B332" s="79"/>
      <c r="C332" s="79"/>
      <c r="D332" s="43"/>
      <c r="E332" s="87"/>
      <c r="F332" s="87"/>
      <c r="G332" s="76">
        <f>IFERROR(vlookup(E332,Data!$A$2:$B$4,2,0), 0) + IFERROR(vlookup(F332,Data!$A$2:$B$4,2,0), 0)</f>
        <v>0</v>
      </c>
      <c r="H332" s="79"/>
    </row>
    <row r="333">
      <c r="A333" s="92"/>
      <c r="B333" s="79"/>
      <c r="C333" s="79"/>
      <c r="D333" s="43"/>
      <c r="E333" s="87"/>
      <c r="F333" s="87"/>
      <c r="G333" s="76">
        <f>IFERROR(vlookup(E333,Data!$A$2:$B$4,2,0), 0) + IFERROR(vlookup(F333,Data!$A$2:$B$4,2,0), 0)</f>
        <v>0</v>
      </c>
      <c r="H333" s="79"/>
    </row>
    <row r="334">
      <c r="A334" s="92"/>
      <c r="B334" s="79"/>
      <c r="C334" s="79"/>
      <c r="D334" s="43"/>
      <c r="E334" s="87"/>
      <c r="F334" s="87"/>
      <c r="G334" s="76">
        <f>IFERROR(vlookup(E334,Data!$A$2:$B$4,2,0), 0) + IFERROR(vlookup(F334,Data!$A$2:$B$4,2,0), 0)</f>
        <v>0</v>
      </c>
      <c r="H334" s="79"/>
    </row>
    <row r="335">
      <c r="A335" s="92"/>
      <c r="B335" s="79"/>
      <c r="C335" s="79"/>
      <c r="D335" s="43"/>
      <c r="E335" s="87"/>
      <c r="F335" s="87"/>
      <c r="G335" s="76">
        <f>IFERROR(vlookup(E335,Data!$A$2:$B$4,2,0), 0) + IFERROR(vlookup(F335,Data!$A$2:$B$4,2,0), 0)</f>
        <v>0</v>
      </c>
      <c r="H335" s="79"/>
    </row>
    <row r="336">
      <c r="A336" s="92"/>
      <c r="B336" s="79"/>
      <c r="C336" s="79"/>
      <c r="D336" s="43"/>
      <c r="E336" s="87"/>
      <c r="F336" s="87"/>
      <c r="G336" s="76">
        <f>IFERROR(vlookup(E336,Data!$A$2:$B$4,2,0), 0) + IFERROR(vlookup(F336,Data!$A$2:$B$4,2,0), 0)</f>
        <v>0</v>
      </c>
      <c r="H336" s="79"/>
    </row>
    <row r="337">
      <c r="A337" s="92"/>
      <c r="B337" s="79"/>
      <c r="C337" s="79"/>
      <c r="D337" s="43"/>
      <c r="E337" s="87"/>
      <c r="F337" s="87"/>
      <c r="G337" s="76">
        <f>IFERROR(vlookup(E337,Data!$A$2:$B$4,2,0), 0) + IFERROR(vlookup(F337,Data!$A$2:$B$4,2,0), 0)</f>
        <v>0</v>
      </c>
      <c r="H337" s="79"/>
    </row>
    <row r="338">
      <c r="A338" s="92"/>
      <c r="B338" s="79"/>
      <c r="C338" s="79"/>
      <c r="D338" s="43"/>
      <c r="E338" s="87"/>
      <c r="F338" s="87"/>
      <c r="G338" s="76">
        <f>IFERROR(vlookup(E338,Data!$A$2:$B$4,2,0), 0) + IFERROR(vlookup(F338,Data!$A$2:$B$4,2,0), 0)</f>
        <v>0</v>
      </c>
      <c r="H338" s="79"/>
    </row>
    <row r="339">
      <c r="A339" s="92"/>
      <c r="B339" s="79"/>
      <c r="C339" s="79"/>
      <c r="D339" s="43"/>
      <c r="E339" s="87"/>
      <c r="F339" s="87"/>
      <c r="G339" s="76">
        <f>IFERROR(vlookup(E339,Data!$A$2:$B$4,2,0), 0) + IFERROR(vlookup(F339,Data!$A$2:$B$4,2,0), 0)</f>
        <v>0</v>
      </c>
      <c r="H339" s="79"/>
    </row>
    <row r="340">
      <c r="A340" s="92"/>
      <c r="B340" s="79"/>
      <c r="C340" s="79"/>
      <c r="D340" s="43"/>
      <c r="E340" s="87"/>
      <c r="F340" s="87"/>
      <c r="G340" s="76">
        <f>IFERROR(vlookup(E340,Data!$A$2:$B$4,2,0), 0) + IFERROR(vlookup(F340,Data!$A$2:$B$4,2,0), 0)</f>
        <v>0</v>
      </c>
      <c r="H340" s="79"/>
    </row>
    <row r="341">
      <c r="A341" s="92"/>
      <c r="B341" s="79"/>
      <c r="C341" s="79"/>
      <c r="D341" s="43"/>
      <c r="E341" s="87"/>
      <c r="F341" s="87"/>
      <c r="G341" s="76">
        <f>IFERROR(vlookup(E341,Data!$A$2:$B$4,2,0), 0) + IFERROR(vlookup(F341,Data!$A$2:$B$4,2,0), 0)</f>
        <v>0</v>
      </c>
      <c r="H341" s="79"/>
    </row>
    <row r="342">
      <c r="A342" s="92"/>
      <c r="B342" s="79"/>
      <c r="C342" s="79"/>
      <c r="D342" s="43"/>
      <c r="E342" s="87"/>
      <c r="F342" s="87"/>
      <c r="G342" s="76">
        <f>IFERROR(vlookup(E342,Data!$A$2:$B$4,2,0), 0) + IFERROR(vlookup(F342,Data!$A$2:$B$4,2,0), 0)</f>
        <v>0</v>
      </c>
      <c r="H342" s="79"/>
    </row>
    <row r="343">
      <c r="A343" s="92"/>
      <c r="B343" s="79"/>
      <c r="C343" s="79"/>
      <c r="D343" s="43"/>
      <c r="E343" s="87"/>
      <c r="F343" s="87"/>
      <c r="G343" s="76">
        <f>IFERROR(vlookup(E343,Data!$A$2:$B$4,2,0), 0) + IFERROR(vlookup(F343,Data!$A$2:$B$4,2,0), 0)</f>
        <v>0</v>
      </c>
      <c r="H343" s="79"/>
    </row>
    <row r="344">
      <c r="A344" s="92"/>
      <c r="B344" s="79"/>
      <c r="C344" s="79"/>
      <c r="D344" s="43"/>
      <c r="E344" s="87"/>
      <c r="F344" s="87"/>
      <c r="G344" s="76">
        <f>IFERROR(vlookup(E344,Data!$A$2:$B$4,2,0), 0) + IFERROR(vlookup(F344,Data!$A$2:$B$4,2,0), 0)</f>
        <v>0</v>
      </c>
      <c r="H344" s="79"/>
    </row>
    <row r="345">
      <c r="A345" s="92"/>
      <c r="B345" s="79"/>
      <c r="C345" s="79"/>
      <c r="D345" s="43"/>
      <c r="E345" s="87"/>
      <c r="F345" s="87"/>
      <c r="G345" s="76">
        <f>IFERROR(vlookup(E345,Data!$A$2:$B$4,2,0), 0) + IFERROR(vlookup(F345,Data!$A$2:$B$4,2,0), 0)</f>
        <v>0</v>
      </c>
      <c r="H345" s="79"/>
    </row>
    <row r="346">
      <c r="A346" s="92"/>
      <c r="B346" s="79"/>
      <c r="C346" s="79"/>
      <c r="D346" s="43"/>
      <c r="E346" s="87"/>
      <c r="F346" s="87"/>
      <c r="G346" s="76">
        <f>IFERROR(vlookup(E346,Data!$A$2:$B$4,2,0), 0) + IFERROR(vlookup(F346,Data!$A$2:$B$4,2,0), 0)</f>
        <v>0</v>
      </c>
      <c r="H346" s="79"/>
    </row>
    <row r="347">
      <c r="A347" s="92"/>
      <c r="B347" s="79"/>
      <c r="C347" s="79"/>
      <c r="D347" s="43"/>
      <c r="E347" s="87"/>
      <c r="F347" s="87"/>
      <c r="G347" s="76">
        <f>IFERROR(vlookup(E347,Data!$A$2:$B$4,2,0), 0) + IFERROR(vlookup(F347,Data!$A$2:$B$4,2,0), 0)</f>
        <v>0</v>
      </c>
      <c r="H347" s="79"/>
    </row>
    <row r="348">
      <c r="A348" s="92"/>
      <c r="B348" s="79"/>
      <c r="C348" s="79"/>
      <c r="D348" s="43"/>
      <c r="E348" s="87"/>
      <c r="F348" s="87"/>
      <c r="G348" s="76">
        <f>IFERROR(vlookup(E348,Data!$A$2:$B$4,2,0), 0) + IFERROR(vlookup(F348,Data!$A$2:$B$4,2,0), 0)</f>
        <v>0</v>
      </c>
      <c r="H348" s="79"/>
    </row>
    <row r="349">
      <c r="A349" s="92"/>
      <c r="B349" s="79"/>
      <c r="C349" s="79"/>
      <c r="D349" s="43"/>
      <c r="E349" s="87"/>
      <c r="F349" s="87"/>
      <c r="G349" s="76">
        <f>IFERROR(vlookup(E349,Data!$A$2:$B$4,2,0), 0) + IFERROR(vlookup(F349,Data!$A$2:$B$4,2,0), 0)</f>
        <v>0</v>
      </c>
      <c r="H349" s="79"/>
    </row>
    <row r="350">
      <c r="A350" s="92"/>
      <c r="B350" s="79"/>
      <c r="C350" s="79"/>
      <c r="D350" s="43"/>
      <c r="E350" s="87"/>
      <c r="F350" s="87"/>
      <c r="G350" s="76">
        <f>IFERROR(vlookup(E350,Data!$A$2:$B$4,2,0), 0) + IFERROR(vlookup(F350,Data!$A$2:$B$4,2,0), 0)</f>
        <v>0</v>
      </c>
      <c r="H350" s="79"/>
    </row>
    <row r="351">
      <c r="A351" s="92"/>
      <c r="B351" s="79"/>
      <c r="C351" s="79"/>
      <c r="D351" s="43"/>
      <c r="E351" s="87"/>
      <c r="F351" s="87"/>
      <c r="G351" s="76">
        <f>IFERROR(vlookup(E351,Data!$A$2:$B$4,2,0), 0) + IFERROR(vlookup(F351,Data!$A$2:$B$4,2,0), 0)</f>
        <v>0</v>
      </c>
      <c r="H351" s="79"/>
    </row>
    <row r="352">
      <c r="A352" s="92"/>
      <c r="B352" s="79"/>
      <c r="C352" s="79"/>
      <c r="D352" s="43"/>
      <c r="E352" s="87"/>
      <c r="F352" s="87"/>
      <c r="G352" s="76">
        <f>IFERROR(vlookup(E352,Data!$A$2:$B$4,2,0), 0) + IFERROR(vlookup(F352,Data!$A$2:$B$4,2,0), 0)</f>
        <v>0</v>
      </c>
      <c r="H352" s="79"/>
    </row>
    <row r="353">
      <c r="A353" s="92"/>
      <c r="B353" s="79"/>
      <c r="C353" s="79"/>
      <c r="D353" s="43"/>
      <c r="E353" s="87"/>
      <c r="F353" s="87"/>
      <c r="G353" s="76">
        <f>IFERROR(vlookup(E353,Data!$A$2:$B$4,2,0), 0) + IFERROR(vlookup(F353,Data!$A$2:$B$4,2,0), 0)</f>
        <v>0</v>
      </c>
      <c r="H353" s="79"/>
    </row>
    <row r="354">
      <c r="A354" s="92"/>
      <c r="B354" s="79"/>
      <c r="C354" s="79"/>
      <c r="D354" s="43"/>
      <c r="E354" s="87"/>
      <c r="F354" s="87"/>
      <c r="G354" s="76">
        <f>IFERROR(vlookup(E354,Data!$A$2:$B$4,2,0), 0) + IFERROR(vlookup(F354,Data!$A$2:$B$4,2,0), 0)</f>
        <v>0</v>
      </c>
      <c r="H354" s="79"/>
    </row>
    <row r="355">
      <c r="A355" s="92"/>
      <c r="B355" s="79"/>
      <c r="C355" s="79"/>
      <c r="D355" s="43"/>
      <c r="E355" s="87"/>
      <c r="F355" s="87"/>
      <c r="G355" s="76">
        <f>IFERROR(vlookup(E355,Data!$A$2:$B$4,2,0), 0) + IFERROR(vlookup(F355,Data!$A$2:$B$4,2,0), 0)</f>
        <v>0</v>
      </c>
      <c r="H355" s="79"/>
    </row>
    <row r="356">
      <c r="A356" s="92"/>
      <c r="B356" s="79"/>
      <c r="C356" s="79"/>
      <c r="D356" s="43"/>
      <c r="E356" s="87"/>
      <c r="F356" s="87"/>
      <c r="G356" s="76">
        <f>IFERROR(vlookup(E356,Data!$A$2:$B$4,2,0), 0) + IFERROR(vlookup(F356,Data!$A$2:$B$4,2,0), 0)</f>
        <v>0</v>
      </c>
      <c r="H356" s="79"/>
    </row>
    <row r="357">
      <c r="A357" s="92"/>
      <c r="B357" s="79"/>
      <c r="C357" s="79"/>
      <c r="D357" s="43"/>
      <c r="E357" s="87"/>
      <c r="F357" s="87"/>
      <c r="G357" s="76">
        <f>IFERROR(vlookup(E357,Data!$A$2:$B$4,2,0), 0) + IFERROR(vlookup(F357,Data!$A$2:$B$4,2,0), 0)</f>
        <v>0</v>
      </c>
      <c r="H357" s="79"/>
    </row>
    <row r="358">
      <c r="A358" s="92"/>
      <c r="B358" s="79"/>
      <c r="C358" s="79"/>
      <c r="D358" s="43"/>
      <c r="E358" s="87"/>
      <c r="F358" s="87"/>
      <c r="G358" s="76">
        <f>IFERROR(vlookup(E358,Data!$A$2:$B$4,2,0), 0) + IFERROR(vlookup(F358,Data!$A$2:$B$4,2,0), 0)</f>
        <v>0</v>
      </c>
      <c r="H358" s="79"/>
    </row>
    <row r="359">
      <c r="A359" s="92"/>
      <c r="B359" s="79"/>
      <c r="C359" s="79"/>
      <c r="D359" s="43"/>
      <c r="E359" s="87"/>
      <c r="F359" s="87"/>
      <c r="G359" s="76">
        <f>IFERROR(vlookup(E359,Data!$A$2:$B$4,2,0), 0) + IFERROR(vlookup(F359,Data!$A$2:$B$4,2,0), 0)</f>
        <v>0</v>
      </c>
      <c r="H359" s="79"/>
    </row>
    <row r="360">
      <c r="A360" s="92"/>
      <c r="B360" s="79"/>
      <c r="C360" s="79"/>
      <c r="D360" s="43"/>
      <c r="E360" s="87"/>
      <c r="F360" s="87"/>
      <c r="G360" s="76">
        <f>IFERROR(vlookup(E360,Data!$A$2:$B$4,2,0), 0) + IFERROR(vlookup(F360,Data!$A$2:$B$4,2,0), 0)</f>
        <v>0</v>
      </c>
      <c r="H360" s="79"/>
    </row>
    <row r="361">
      <c r="A361" s="92"/>
      <c r="B361" s="79"/>
      <c r="C361" s="79"/>
      <c r="D361" s="43"/>
      <c r="E361" s="87"/>
      <c r="F361" s="87"/>
      <c r="G361" s="76">
        <f>IFERROR(vlookup(E361,Data!$A$2:$B$4,2,0), 0) + IFERROR(vlookup(F361,Data!$A$2:$B$4,2,0), 0)</f>
        <v>0</v>
      </c>
      <c r="H361" s="79"/>
    </row>
    <row r="362">
      <c r="A362" s="92"/>
      <c r="B362" s="79"/>
      <c r="C362" s="79"/>
      <c r="D362" s="43"/>
      <c r="E362" s="87"/>
      <c r="F362" s="87"/>
      <c r="G362" s="76">
        <f>IFERROR(vlookup(E362,Data!$A$2:$B$4,2,0), 0) + IFERROR(vlookup(F362,Data!$A$2:$B$4,2,0), 0)</f>
        <v>0</v>
      </c>
      <c r="H362" s="79"/>
    </row>
    <row r="363">
      <c r="A363" s="92"/>
      <c r="B363" s="79"/>
      <c r="C363" s="79"/>
      <c r="D363" s="43"/>
      <c r="E363" s="87"/>
      <c r="F363" s="87"/>
      <c r="G363" s="76">
        <f>IFERROR(vlookup(E363,Data!$A$2:$B$4,2,0), 0) + IFERROR(vlookup(F363,Data!$A$2:$B$4,2,0), 0)</f>
        <v>0</v>
      </c>
      <c r="H363" s="79"/>
    </row>
    <row r="364">
      <c r="A364" s="92"/>
      <c r="B364" s="79"/>
      <c r="C364" s="79"/>
      <c r="D364" s="43"/>
      <c r="E364" s="87"/>
      <c r="F364" s="87"/>
      <c r="G364" s="76">
        <f>IFERROR(vlookup(E364,Data!$A$2:$B$4,2,0), 0) + IFERROR(vlookup(F364,Data!$A$2:$B$4,2,0), 0)</f>
        <v>0</v>
      </c>
      <c r="H364" s="79"/>
    </row>
    <row r="365">
      <c r="A365" s="92"/>
      <c r="B365" s="79"/>
      <c r="C365" s="79"/>
      <c r="D365" s="43"/>
      <c r="E365" s="87"/>
      <c r="F365" s="87"/>
      <c r="G365" s="76">
        <f>IFERROR(vlookup(E365,Data!$A$2:$B$4,2,0), 0) + IFERROR(vlookup(F365,Data!$A$2:$B$4,2,0), 0)</f>
        <v>0</v>
      </c>
      <c r="H365" s="79"/>
    </row>
    <row r="366">
      <c r="A366" s="92"/>
      <c r="B366" s="79"/>
      <c r="C366" s="79"/>
      <c r="D366" s="43"/>
      <c r="E366" s="87"/>
      <c r="F366" s="87"/>
      <c r="G366" s="76">
        <f>IFERROR(vlookup(E366,Data!$A$2:$B$4,2,0), 0) + IFERROR(vlookup(F366,Data!$A$2:$B$4,2,0), 0)</f>
        <v>0</v>
      </c>
      <c r="H366" s="79"/>
    </row>
    <row r="367">
      <c r="A367" s="92"/>
      <c r="B367" s="79"/>
      <c r="C367" s="79"/>
      <c r="D367" s="43"/>
      <c r="E367" s="87"/>
      <c r="F367" s="87"/>
      <c r="G367" s="76">
        <f>IFERROR(vlookup(E367,Data!$A$2:$B$4,2,0), 0) + IFERROR(vlookup(F367,Data!$A$2:$B$4,2,0), 0)</f>
        <v>0</v>
      </c>
      <c r="H367" s="79"/>
    </row>
    <row r="368">
      <c r="A368" s="92"/>
      <c r="B368" s="79"/>
      <c r="C368" s="79"/>
      <c r="D368" s="43"/>
      <c r="E368" s="87"/>
      <c r="F368" s="87"/>
      <c r="G368" s="76">
        <f>IFERROR(vlookup(E368,Data!$A$2:$B$4,2,0), 0) + IFERROR(vlookup(F368,Data!$A$2:$B$4,2,0), 0)</f>
        <v>0</v>
      </c>
      <c r="H368" s="79"/>
    </row>
    <row r="369">
      <c r="A369" s="92"/>
      <c r="B369" s="79"/>
      <c r="C369" s="79"/>
      <c r="D369" s="43"/>
      <c r="E369" s="87"/>
      <c r="F369" s="87"/>
      <c r="G369" s="76">
        <f>IFERROR(vlookup(E369,Data!$A$2:$B$4,2,0), 0) + IFERROR(vlookup(F369,Data!$A$2:$B$4,2,0), 0)</f>
        <v>0</v>
      </c>
      <c r="H369" s="79"/>
    </row>
    <row r="370">
      <c r="A370" s="92"/>
      <c r="B370" s="79"/>
      <c r="C370" s="79"/>
      <c r="D370" s="43"/>
      <c r="E370" s="87"/>
      <c r="F370" s="87"/>
      <c r="G370" s="76">
        <f>IFERROR(vlookup(E370,Data!$A$2:$B$4,2,0), 0) + IFERROR(vlookup(F370,Data!$A$2:$B$4,2,0), 0)</f>
        <v>0</v>
      </c>
      <c r="H370" s="79"/>
    </row>
    <row r="371">
      <c r="A371" s="92"/>
      <c r="B371" s="79"/>
      <c r="C371" s="79"/>
      <c r="D371" s="43"/>
      <c r="E371" s="87"/>
      <c r="F371" s="87"/>
      <c r="G371" s="76">
        <f>IFERROR(vlookup(E371,Data!$A$2:$B$4,2,0), 0) + IFERROR(vlookup(F371,Data!$A$2:$B$4,2,0), 0)</f>
        <v>0</v>
      </c>
      <c r="H371" s="79"/>
    </row>
    <row r="372">
      <c r="A372" s="92"/>
      <c r="B372" s="79"/>
      <c r="C372" s="79"/>
      <c r="D372" s="43"/>
      <c r="E372" s="87"/>
      <c r="F372" s="87"/>
      <c r="G372" s="76">
        <f>IFERROR(vlookup(E372,Data!$A$2:$B$4,2,0), 0) + IFERROR(vlookup(F372,Data!$A$2:$B$4,2,0), 0)</f>
        <v>0</v>
      </c>
      <c r="H372" s="79"/>
    </row>
    <row r="373">
      <c r="A373" s="92"/>
      <c r="B373" s="79"/>
      <c r="C373" s="79"/>
      <c r="D373" s="43"/>
      <c r="E373" s="87"/>
      <c r="F373" s="87"/>
      <c r="G373" s="76">
        <f>IFERROR(vlookup(E373,Data!$A$2:$B$4,2,0), 0) + IFERROR(vlookup(F373,Data!$A$2:$B$4,2,0), 0)</f>
        <v>0</v>
      </c>
      <c r="H373" s="79"/>
    </row>
    <row r="374">
      <c r="A374" s="92"/>
      <c r="B374" s="79"/>
      <c r="C374" s="79"/>
      <c r="D374" s="43"/>
      <c r="E374" s="87"/>
      <c r="F374" s="87"/>
      <c r="G374" s="76">
        <f>IFERROR(vlookup(E374,Data!$A$2:$B$4,2,0), 0) + IFERROR(vlookup(F374,Data!$A$2:$B$4,2,0), 0)</f>
        <v>0</v>
      </c>
      <c r="H374" s="79"/>
    </row>
    <row r="375">
      <c r="A375" s="92"/>
      <c r="B375" s="79"/>
      <c r="C375" s="79"/>
      <c r="D375" s="43"/>
      <c r="E375" s="87"/>
      <c r="F375" s="87"/>
      <c r="G375" s="76">
        <f>IFERROR(vlookup(E375,Data!$A$2:$B$4,2,0), 0) + IFERROR(vlookup(F375,Data!$A$2:$B$4,2,0), 0)</f>
        <v>0</v>
      </c>
      <c r="H375" s="79"/>
    </row>
    <row r="376">
      <c r="A376" s="92"/>
      <c r="B376" s="79"/>
      <c r="C376" s="79"/>
      <c r="D376" s="43"/>
      <c r="E376" s="87"/>
      <c r="F376" s="87"/>
      <c r="G376" s="76">
        <f>IFERROR(vlookup(E376,Data!$A$2:$B$4,2,0), 0) + IFERROR(vlookup(F376,Data!$A$2:$B$4,2,0), 0)</f>
        <v>0</v>
      </c>
      <c r="H376" s="79"/>
    </row>
    <row r="377">
      <c r="A377" s="92"/>
      <c r="B377" s="79"/>
      <c r="C377" s="79"/>
      <c r="D377" s="43"/>
      <c r="E377" s="87"/>
      <c r="F377" s="87"/>
      <c r="G377" s="76">
        <f>IFERROR(vlookup(E377,Data!$A$2:$B$4,2,0), 0) + IFERROR(vlookup(F377,Data!$A$2:$B$4,2,0), 0)</f>
        <v>0</v>
      </c>
      <c r="H377" s="79"/>
    </row>
    <row r="378">
      <c r="A378" s="92"/>
      <c r="B378" s="79"/>
      <c r="C378" s="79"/>
      <c r="D378" s="43"/>
      <c r="E378" s="87"/>
      <c r="F378" s="87"/>
      <c r="G378" s="76">
        <f>IFERROR(vlookup(E378,Data!$A$2:$B$4,2,0), 0) + IFERROR(vlookup(F378,Data!$A$2:$B$4,2,0), 0)</f>
        <v>0</v>
      </c>
      <c r="H378" s="79"/>
    </row>
    <row r="379">
      <c r="A379" s="92"/>
      <c r="B379" s="79"/>
      <c r="C379" s="79"/>
      <c r="D379" s="43"/>
      <c r="E379" s="87"/>
      <c r="F379" s="87"/>
      <c r="G379" s="76">
        <f>IFERROR(vlookup(E379,Data!$A$2:$B$4,2,0), 0) + IFERROR(vlookup(F379,Data!$A$2:$B$4,2,0), 0)</f>
        <v>0</v>
      </c>
      <c r="H379" s="79"/>
    </row>
    <row r="380">
      <c r="A380" s="92"/>
      <c r="B380" s="79"/>
      <c r="C380" s="79"/>
      <c r="D380" s="43"/>
      <c r="E380" s="87"/>
      <c r="F380" s="87"/>
      <c r="G380" s="76">
        <f>IFERROR(vlookup(E380,Data!$A$2:$B$4,2,0), 0) + IFERROR(vlookup(F380,Data!$A$2:$B$4,2,0), 0)</f>
        <v>0</v>
      </c>
      <c r="H380" s="79"/>
    </row>
    <row r="381">
      <c r="A381" s="92"/>
      <c r="B381" s="79"/>
      <c r="C381" s="79"/>
      <c r="D381" s="43"/>
      <c r="E381" s="87"/>
      <c r="F381" s="87"/>
      <c r="G381" s="76">
        <f>IFERROR(vlookup(E381,Data!$A$2:$B$4,2,0), 0) + IFERROR(vlookup(F381,Data!$A$2:$B$4,2,0), 0)</f>
        <v>0</v>
      </c>
      <c r="H381" s="79"/>
    </row>
    <row r="382">
      <c r="A382" s="92"/>
      <c r="B382" s="79"/>
      <c r="C382" s="79"/>
      <c r="D382" s="43"/>
      <c r="E382" s="87"/>
      <c r="F382" s="87"/>
      <c r="G382" s="76">
        <f>IFERROR(vlookup(E382,Data!$A$2:$B$4,2,0), 0) + IFERROR(vlookup(F382,Data!$A$2:$B$4,2,0), 0)</f>
        <v>0</v>
      </c>
      <c r="H382" s="79"/>
    </row>
    <row r="383">
      <c r="A383" s="92"/>
      <c r="B383" s="79"/>
      <c r="C383" s="79"/>
      <c r="D383" s="43"/>
      <c r="E383" s="87"/>
      <c r="F383" s="87"/>
      <c r="G383" s="76">
        <f>IFERROR(vlookup(E383,Data!$A$2:$B$4,2,0), 0) + IFERROR(vlookup(F383,Data!$A$2:$B$4,2,0), 0)</f>
        <v>0</v>
      </c>
      <c r="H383" s="79"/>
    </row>
    <row r="384">
      <c r="A384" s="92"/>
      <c r="B384" s="79"/>
      <c r="C384" s="79"/>
      <c r="D384" s="43"/>
      <c r="E384" s="87"/>
      <c r="F384" s="87"/>
      <c r="G384" s="76">
        <f>IFERROR(vlookup(E384,Data!$A$2:$B$4,2,0), 0) + IFERROR(vlookup(F384,Data!$A$2:$B$4,2,0), 0)</f>
        <v>0</v>
      </c>
      <c r="H384" s="79"/>
    </row>
    <row r="385">
      <c r="A385" s="92"/>
      <c r="B385" s="79"/>
      <c r="C385" s="79"/>
      <c r="D385" s="43"/>
      <c r="E385" s="87"/>
      <c r="F385" s="87"/>
      <c r="G385" s="76">
        <f>IFERROR(vlookup(E385,Data!$A$2:$B$4,2,0), 0) + IFERROR(vlookup(F385,Data!$A$2:$B$4,2,0), 0)</f>
        <v>0</v>
      </c>
      <c r="H385" s="79"/>
    </row>
    <row r="386">
      <c r="A386" s="92"/>
      <c r="B386" s="79"/>
      <c r="C386" s="79"/>
      <c r="D386" s="43"/>
      <c r="E386" s="87"/>
      <c r="F386" s="87"/>
      <c r="G386" s="76">
        <f>IFERROR(vlookup(E386,Data!$A$2:$B$4,2,0), 0) + IFERROR(vlookup(F386,Data!$A$2:$B$4,2,0), 0)</f>
        <v>0</v>
      </c>
      <c r="H386" s="79"/>
    </row>
    <row r="387">
      <c r="A387" s="92"/>
      <c r="B387" s="79"/>
      <c r="C387" s="79"/>
      <c r="D387" s="43"/>
      <c r="E387" s="87"/>
      <c r="F387" s="87"/>
      <c r="G387" s="76">
        <f>IFERROR(vlookup(E387,Data!$A$2:$B$4,2,0), 0) + IFERROR(vlookup(F387,Data!$A$2:$B$4,2,0), 0)</f>
        <v>0</v>
      </c>
      <c r="H387" s="79"/>
    </row>
    <row r="388">
      <c r="A388" s="92"/>
      <c r="B388" s="79"/>
      <c r="C388" s="79"/>
      <c r="D388" s="43"/>
      <c r="E388" s="87"/>
      <c r="F388" s="87"/>
      <c r="G388" s="76">
        <f>IFERROR(vlookup(E388,Data!$A$2:$B$4,2,0), 0) + IFERROR(vlookup(F388,Data!$A$2:$B$4,2,0), 0)</f>
        <v>0</v>
      </c>
      <c r="H388" s="79"/>
    </row>
    <row r="389">
      <c r="A389" s="92"/>
      <c r="B389" s="79"/>
      <c r="C389" s="79"/>
      <c r="D389" s="43"/>
      <c r="E389" s="87"/>
      <c r="F389" s="87"/>
      <c r="G389" s="76">
        <f>IFERROR(vlookup(E389,Data!$A$2:$B$4,2,0), 0) + IFERROR(vlookup(F389,Data!$A$2:$B$4,2,0), 0)</f>
        <v>0</v>
      </c>
      <c r="H389" s="79"/>
    </row>
    <row r="390">
      <c r="A390" s="92"/>
      <c r="B390" s="79"/>
      <c r="C390" s="79"/>
      <c r="D390" s="43"/>
      <c r="E390" s="87"/>
      <c r="F390" s="87"/>
      <c r="G390" s="76">
        <f>IFERROR(vlookup(E390,Data!$A$2:$B$4,2,0), 0) + IFERROR(vlookup(F390,Data!$A$2:$B$4,2,0), 0)</f>
        <v>0</v>
      </c>
      <c r="H390" s="79"/>
    </row>
    <row r="391">
      <c r="A391" s="92"/>
      <c r="B391" s="79"/>
      <c r="C391" s="79"/>
      <c r="D391" s="43"/>
      <c r="E391" s="87"/>
      <c r="F391" s="87"/>
      <c r="G391" s="76">
        <f>IFERROR(vlookup(E391,Data!$A$2:$B$4,2,0), 0) + IFERROR(vlookup(F391,Data!$A$2:$B$4,2,0), 0)</f>
        <v>0</v>
      </c>
      <c r="H391" s="79"/>
    </row>
    <row r="392">
      <c r="A392" s="92"/>
      <c r="B392" s="79"/>
      <c r="C392" s="79"/>
      <c r="D392" s="43"/>
      <c r="E392" s="87"/>
      <c r="F392" s="87"/>
      <c r="G392" s="76">
        <f>IFERROR(vlookup(E392,Data!$A$2:$B$4,2,0), 0) + IFERROR(vlookup(F392,Data!$A$2:$B$4,2,0), 0)</f>
        <v>0</v>
      </c>
      <c r="H392" s="79"/>
    </row>
    <row r="393">
      <c r="A393" s="92"/>
      <c r="B393" s="79"/>
      <c r="C393" s="79"/>
      <c r="D393" s="43"/>
      <c r="E393" s="87"/>
      <c r="F393" s="87"/>
      <c r="G393" s="76">
        <f>IFERROR(vlookup(E393,Data!$A$2:$B$4,2,0), 0) + IFERROR(vlookup(F393,Data!$A$2:$B$4,2,0), 0)</f>
        <v>0</v>
      </c>
      <c r="H393" s="79"/>
    </row>
    <row r="394">
      <c r="A394" s="92"/>
      <c r="B394" s="79"/>
      <c r="C394" s="79"/>
      <c r="D394" s="43"/>
      <c r="E394" s="87"/>
      <c r="F394" s="87"/>
      <c r="G394" s="76">
        <f>IFERROR(vlookup(E394,Data!$A$2:$B$4,2,0), 0) + IFERROR(vlookup(F394,Data!$A$2:$B$4,2,0), 0)</f>
        <v>0</v>
      </c>
      <c r="H394" s="79"/>
    </row>
    <row r="395">
      <c r="A395" s="92"/>
      <c r="B395" s="79"/>
      <c r="C395" s="79"/>
      <c r="D395" s="43"/>
      <c r="E395" s="87"/>
      <c r="F395" s="87"/>
      <c r="G395" s="76">
        <f>IFERROR(vlookup(E395,Data!$A$2:$B$4,2,0), 0) + IFERROR(vlookup(F395,Data!$A$2:$B$4,2,0), 0)</f>
        <v>0</v>
      </c>
      <c r="H395" s="79"/>
    </row>
    <row r="396">
      <c r="A396" s="92"/>
      <c r="B396" s="79"/>
      <c r="C396" s="79"/>
      <c r="D396" s="43"/>
      <c r="E396" s="87"/>
      <c r="F396" s="87"/>
      <c r="G396" s="76">
        <f>IFERROR(vlookup(E396,Data!$A$2:$B$4,2,0), 0) + IFERROR(vlookup(F396,Data!$A$2:$B$4,2,0), 0)</f>
        <v>0</v>
      </c>
      <c r="H396" s="79"/>
    </row>
    <row r="397">
      <c r="A397" s="92"/>
      <c r="B397" s="79"/>
      <c r="C397" s="79"/>
      <c r="D397" s="43"/>
      <c r="E397" s="87"/>
      <c r="F397" s="87"/>
      <c r="G397" s="76">
        <f>IFERROR(vlookup(E397,Data!$A$2:$B$4,2,0), 0) + IFERROR(vlookup(F397,Data!$A$2:$B$4,2,0), 0)</f>
        <v>0</v>
      </c>
      <c r="H397" s="79"/>
    </row>
    <row r="398">
      <c r="A398" s="92"/>
      <c r="B398" s="79"/>
      <c r="C398" s="79"/>
      <c r="D398" s="43"/>
      <c r="E398" s="87"/>
      <c r="F398" s="87"/>
      <c r="G398" s="76">
        <f>IFERROR(vlookup(E398,Data!$A$2:$B$4,2,0), 0) + IFERROR(vlookup(F398,Data!$A$2:$B$4,2,0), 0)</f>
        <v>0</v>
      </c>
      <c r="H398" s="79"/>
    </row>
    <row r="399">
      <c r="A399" s="92"/>
      <c r="B399" s="79"/>
      <c r="C399" s="79"/>
      <c r="D399" s="43"/>
      <c r="E399" s="87"/>
      <c r="F399" s="87"/>
      <c r="G399" s="76">
        <f>IFERROR(vlookup(E399,Data!$A$2:$B$4,2,0), 0) + IFERROR(vlookup(F399,Data!$A$2:$B$4,2,0), 0)</f>
        <v>0</v>
      </c>
      <c r="H399" s="79"/>
    </row>
    <row r="400">
      <c r="A400" s="92"/>
      <c r="B400" s="79"/>
      <c r="C400" s="79"/>
      <c r="D400" s="43"/>
      <c r="E400" s="87"/>
      <c r="F400" s="87"/>
      <c r="G400" s="76">
        <f>IFERROR(vlookup(E400,Data!$A$2:$B$4,2,0), 0) + IFERROR(vlookup(F400,Data!$A$2:$B$4,2,0), 0)</f>
        <v>0</v>
      </c>
      <c r="H400" s="79"/>
    </row>
    <row r="401">
      <c r="A401" s="92"/>
      <c r="B401" s="79"/>
      <c r="C401" s="79"/>
      <c r="D401" s="43"/>
      <c r="E401" s="87"/>
      <c r="F401" s="87"/>
      <c r="G401" s="76">
        <f>IFERROR(vlookup(E401,Data!$A$2:$B$4,2,0), 0) + IFERROR(vlookup(F401,Data!$A$2:$B$4,2,0), 0)</f>
        <v>0</v>
      </c>
      <c r="H401" s="79"/>
    </row>
    <row r="402">
      <c r="A402" s="92"/>
      <c r="B402" s="79"/>
      <c r="C402" s="79"/>
      <c r="D402" s="43"/>
      <c r="E402" s="87"/>
      <c r="F402" s="87"/>
      <c r="G402" s="76">
        <f>IFERROR(vlookup(E402,Data!$A$2:$B$4,2,0), 0) + IFERROR(vlookup(F402,Data!$A$2:$B$4,2,0), 0)</f>
        <v>0</v>
      </c>
      <c r="H402" s="79"/>
    </row>
    <row r="403">
      <c r="A403" s="92"/>
      <c r="B403" s="79"/>
      <c r="C403" s="79"/>
      <c r="D403" s="43"/>
      <c r="E403" s="87"/>
      <c r="F403" s="87"/>
      <c r="G403" s="76">
        <f>IFERROR(vlookup(E403,Data!$A$2:$B$4,2,0), 0) + IFERROR(vlookup(F403,Data!$A$2:$B$4,2,0), 0)</f>
        <v>0</v>
      </c>
      <c r="H403" s="79"/>
    </row>
    <row r="404">
      <c r="A404" s="92"/>
      <c r="B404" s="79"/>
      <c r="C404" s="79"/>
      <c r="D404" s="43"/>
      <c r="E404" s="87"/>
      <c r="F404" s="87"/>
      <c r="G404" s="76">
        <f>IFERROR(vlookup(E404,Data!$A$2:$B$4,2,0), 0) + IFERROR(vlookup(F404,Data!$A$2:$B$4,2,0), 0)</f>
        <v>0</v>
      </c>
      <c r="H404" s="79"/>
    </row>
    <row r="405">
      <c r="A405" s="92"/>
      <c r="B405" s="79"/>
      <c r="C405" s="79"/>
      <c r="D405" s="43"/>
      <c r="E405" s="87"/>
      <c r="F405" s="87"/>
      <c r="G405" s="76">
        <f>IFERROR(vlookup(E405,Data!$A$2:$B$4,2,0), 0) + IFERROR(vlookup(F405,Data!$A$2:$B$4,2,0), 0)</f>
        <v>0</v>
      </c>
      <c r="H405" s="79"/>
    </row>
    <row r="406">
      <c r="A406" s="92"/>
      <c r="B406" s="79"/>
      <c r="C406" s="79"/>
      <c r="D406" s="43"/>
      <c r="E406" s="87"/>
      <c r="F406" s="87"/>
      <c r="G406" s="76">
        <f>IFERROR(vlookup(E406,Data!$A$2:$B$4,2,0), 0) + IFERROR(vlookup(F406,Data!$A$2:$B$4,2,0), 0)</f>
        <v>0</v>
      </c>
      <c r="H406" s="79"/>
    </row>
    <row r="407">
      <c r="A407" s="92"/>
      <c r="B407" s="79"/>
      <c r="C407" s="79"/>
      <c r="D407" s="43"/>
      <c r="E407" s="87"/>
      <c r="F407" s="87"/>
      <c r="G407" s="76">
        <f>IFERROR(vlookup(E407,Data!$A$2:$B$4,2,0), 0) + IFERROR(vlookup(F407,Data!$A$2:$B$4,2,0), 0)</f>
        <v>0</v>
      </c>
      <c r="H407" s="79"/>
    </row>
    <row r="408">
      <c r="A408" s="92"/>
      <c r="B408" s="79"/>
      <c r="C408" s="79"/>
      <c r="D408" s="43"/>
      <c r="E408" s="87"/>
      <c r="F408" s="87"/>
      <c r="G408" s="76">
        <f>IFERROR(vlookup(E408,Data!$A$2:$B$4,2,0), 0) + IFERROR(vlookup(F408,Data!$A$2:$B$4,2,0), 0)</f>
        <v>0</v>
      </c>
      <c r="H408" s="79"/>
    </row>
    <row r="409">
      <c r="A409" s="92"/>
      <c r="B409" s="79"/>
      <c r="C409" s="79"/>
      <c r="D409" s="43"/>
      <c r="E409" s="87"/>
      <c r="F409" s="87"/>
      <c r="G409" s="76">
        <f>IFERROR(vlookup(E409,Data!$A$2:$B$4,2,0), 0) + IFERROR(vlookup(F409,Data!$A$2:$B$4,2,0), 0)</f>
        <v>0</v>
      </c>
      <c r="H409" s="79"/>
    </row>
    <row r="410">
      <c r="A410" s="92"/>
      <c r="B410" s="79"/>
      <c r="C410" s="79"/>
      <c r="D410" s="43"/>
      <c r="E410" s="87"/>
      <c r="F410" s="87"/>
      <c r="G410" s="76">
        <f>IFERROR(vlookup(E410,Data!$A$2:$B$4,2,0), 0) + IFERROR(vlookup(F410,Data!$A$2:$B$4,2,0), 0)</f>
        <v>0</v>
      </c>
      <c r="H410" s="79"/>
    </row>
    <row r="411">
      <c r="A411" s="92"/>
      <c r="B411" s="79"/>
      <c r="C411" s="79"/>
      <c r="D411" s="43"/>
      <c r="E411" s="87"/>
      <c r="F411" s="87"/>
      <c r="G411" s="76">
        <f>IFERROR(vlookup(E411,Data!$A$2:$B$4,2,0), 0) + IFERROR(vlookup(F411,Data!$A$2:$B$4,2,0), 0)</f>
        <v>0</v>
      </c>
      <c r="H411" s="79"/>
    </row>
    <row r="412">
      <c r="A412" s="92"/>
      <c r="B412" s="79"/>
      <c r="C412" s="79"/>
      <c r="D412" s="43"/>
      <c r="E412" s="87"/>
      <c r="F412" s="87"/>
      <c r="G412" s="76">
        <f>IFERROR(vlookup(E412,Data!$A$2:$B$4,2,0), 0) + IFERROR(vlookup(F412,Data!$A$2:$B$4,2,0), 0)</f>
        <v>0</v>
      </c>
      <c r="H412" s="79"/>
    </row>
    <row r="413">
      <c r="A413" s="92"/>
      <c r="B413" s="79"/>
      <c r="C413" s="79"/>
      <c r="D413" s="43"/>
      <c r="E413" s="87"/>
      <c r="F413" s="87"/>
      <c r="G413" s="76">
        <f>IFERROR(vlookup(E413,Data!$A$2:$B$4,2,0), 0) + IFERROR(vlookup(F413,Data!$A$2:$B$4,2,0), 0)</f>
        <v>0</v>
      </c>
      <c r="H413" s="79"/>
    </row>
    <row r="414">
      <c r="A414" s="92"/>
      <c r="B414" s="79"/>
      <c r="C414" s="79"/>
      <c r="D414" s="43"/>
      <c r="E414" s="87"/>
      <c r="F414" s="87"/>
      <c r="G414" s="76">
        <f>IFERROR(vlookup(E414,Data!$A$2:$B$4,2,0), 0) + IFERROR(vlookup(F414,Data!$A$2:$B$4,2,0), 0)</f>
        <v>0</v>
      </c>
      <c r="H414" s="79"/>
    </row>
    <row r="415">
      <c r="A415" s="92"/>
      <c r="B415" s="79"/>
      <c r="C415" s="79"/>
      <c r="D415" s="43"/>
      <c r="E415" s="87"/>
      <c r="F415" s="87"/>
      <c r="G415" s="76">
        <f>IFERROR(vlookup(E415,Data!$A$2:$B$4,2,0), 0) + IFERROR(vlookup(F415,Data!$A$2:$B$4,2,0), 0)</f>
        <v>0</v>
      </c>
      <c r="H415" s="79"/>
    </row>
    <row r="416">
      <c r="A416" s="92"/>
      <c r="B416" s="79"/>
      <c r="C416" s="79"/>
      <c r="D416" s="43"/>
      <c r="E416" s="87"/>
      <c r="F416" s="87"/>
      <c r="G416" s="76">
        <f>IFERROR(vlookup(E416,Data!$A$2:$B$4,2,0), 0) + IFERROR(vlookup(F416,Data!$A$2:$B$4,2,0), 0)</f>
        <v>0</v>
      </c>
      <c r="H416" s="79"/>
    </row>
    <row r="417">
      <c r="A417" s="92"/>
      <c r="B417" s="79"/>
      <c r="C417" s="79"/>
      <c r="D417" s="43"/>
      <c r="E417" s="87"/>
      <c r="F417" s="87"/>
      <c r="G417" s="76">
        <f>IFERROR(vlookup(E417,Data!$A$2:$B$4,2,0), 0) + IFERROR(vlookup(F417,Data!$A$2:$B$4,2,0), 0)</f>
        <v>0</v>
      </c>
      <c r="H417" s="79"/>
    </row>
    <row r="418">
      <c r="A418" s="92"/>
      <c r="B418" s="79"/>
      <c r="C418" s="79"/>
      <c r="D418" s="43"/>
      <c r="E418" s="87"/>
      <c r="F418" s="87"/>
      <c r="G418" s="76">
        <f>IFERROR(vlookup(E418,Data!$A$2:$B$4,2,0), 0) + IFERROR(vlookup(F418,Data!$A$2:$B$4,2,0), 0)</f>
        <v>0</v>
      </c>
      <c r="H418" s="79"/>
    </row>
    <row r="419">
      <c r="A419" s="92"/>
      <c r="B419" s="79"/>
      <c r="C419" s="79"/>
      <c r="D419" s="43"/>
      <c r="E419" s="87"/>
      <c r="F419" s="87"/>
      <c r="G419" s="76">
        <f>IFERROR(vlookup(E419,Data!$A$2:$B$4,2,0), 0) + IFERROR(vlookup(F419,Data!$A$2:$B$4,2,0), 0)</f>
        <v>0</v>
      </c>
      <c r="H419" s="79"/>
    </row>
    <row r="420">
      <c r="A420" s="92"/>
      <c r="B420" s="79"/>
      <c r="C420" s="79"/>
      <c r="D420" s="43"/>
      <c r="E420" s="87"/>
      <c r="F420" s="87"/>
      <c r="G420" s="76">
        <f>IFERROR(vlookup(E420,Data!$A$2:$B$4,2,0), 0) + IFERROR(vlookup(F420,Data!$A$2:$B$4,2,0), 0)</f>
        <v>0</v>
      </c>
      <c r="H420" s="79"/>
    </row>
    <row r="421">
      <c r="A421" s="92"/>
      <c r="B421" s="79"/>
      <c r="C421" s="79"/>
      <c r="D421" s="43"/>
      <c r="E421" s="87"/>
      <c r="F421" s="87"/>
      <c r="G421" s="76">
        <f>IFERROR(vlookup(E421,Data!$A$2:$B$4,2,0), 0) + IFERROR(vlookup(F421,Data!$A$2:$B$4,2,0), 0)</f>
        <v>0</v>
      </c>
      <c r="H421" s="79"/>
    </row>
    <row r="422">
      <c r="A422" s="92"/>
      <c r="B422" s="79"/>
      <c r="C422" s="79"/>
      <c r="D422" s="43"/>
      <c r="E422" s="87"/>
      <c r="F422" s="87"/>
      <c r="G422" s="76">
        <f>IFERROR(vlookup(E422,Data!$A$2:$B$4,2,0), 0) + IFERROR(vlookup(F422,Data!$A$2:$B$4,2,0), 0)</f>
        <v>0</v>
      </c>
      <c r="H422" s="79"/>
    </row>
    <row r="423">
      <c r="A423" s="92"/>
      <c r="B423" s="79"/>
      <c r="C423" s="79"/>
      <c r="D423" s="43"/>
      <c r="E423" s="87"/>
      <c r="F423" s="87"/>
      <c r="G423" s="76">
        <f>IFERROR(vlookup(E423,Data!$A$2:$B$4,2,0), 0) + IFERROR(vlookup(F423,Data!$A$2:$B$4,2,0), 0)</f>
        <v>0</v>
      </c>
      <c r="H423" s="79"/>
    </row>
    <row r="424">
      <c r="A424" s="92"/>
      <c r="B424" s="79"/>
      <c r="C424" s="79"/>
      <c r="D424" s="43"/>
      <c r="E424" s="87"/>
      <c r="F424" s="87"/>
      <c r="G424" s="76">
        <f>IFERROR(vlookup(E424,Data!$A$2:$B$4,2,0), 0) + IFERROR(vlookup(F424,Data!$A$2:$B$4,2,0), 0)</f>
        <v>0</v>
      </c>
      <c r="H424" s="79"/>
    </row>
    <row r="425">
      <c r="A425" s="92"/>
      <c r="B425" s="79"/>
      <c r="C425" s="79"/>
      <c r="D425" s="43"/>
      <c r="E425" s="87"/>
      <c r="F425" s="87"/>
      <c r="G425" s="76">
        <f>IFERROR(vlookup(E425,Data!$A$2:$B$4,2,0), 0) + IFERROR(vlookup(F425,Data!$A$2:$B$4,2,0), 0)</f>
        <v>0</v>
      </c>
      <c r="H425" s="79"/>
    </row>
    <row r="426">
      <c r="A426" s="92"/>
      <c r="B426" s="79"/>
      <c r="C426" s="79"/>
      <c r="D426" s="43"/>
      <c r="E426" s="87"/>
      <c r="F426" s="87"/>
      <c r="G426" s="76">
        <f>IFERROR(vlookup(E426,Data!$A$2:$B$4,2,0), 0) + IFERROR(vlookup(F426,Data!$A$2:$B$4,2,0), 0)</f>
        <v>0</v>
      </c>
      <c r="H426" s="79"/>
    </row>
    <row r="427">
      <c r="A427" s="92"/>
      <c r="B427" s="79"/>
      <c r="C427" s="79"/>
      <c r="D427" s="43"/>
      <c r="E427" s="87"/>
      <c r="F427" s="87"/>
      <c r="G427" s="76">
        <f>IFERROR(vlookup(E427,Data!$A$2:$B$4,2,0), 0) + IFERROR(vlookup(F427,Data!$A$2:$B$4,2,0), 0)</f>
        <v>0</v>
      </c>
      <c r="H427" s="79"/>
    </row>
    <row r="428">
      <c r="A428" s="92"/>
      <c r="B428" s="79"/>
      <c r="C428" s="79"/>
      <c r="D428" s="43"/>
      <c r="E428" s="87"/>
      <c r="F428" s="87"/>
      <c r="G428" s="76">
        <f>IFERROR(vlookup(E428,Data!$A$2:$B$4,2,0), 0) + IFERROR(vlookup(F428,Data!$A$2:$B$4,2,0), 0)</f>
        <v>0</v>
      </c>
      <c r="H428" s="79"/>
    </row>
    <row r="429">
      <c r="A429" s="92"/>
      <c r="B429" s="79"/>
      <c r="C429" s="79"/>
      <c r="D429" s="43"/>
      <c r="E429" s="87"/>
      <c r="F429" s="87"/>
      <c r="G429" s="76">
        <f>IFERROR(vlookup(E429,Data!$A$2:$B$4,2,0), 0) + IFERROR(vlookup(F429,Data!$A$2:$B$4,2,0), 0)</f>
        <v>0</v>
      </c>
      <c r="H429" s="79"/>
    </row>
    <row r="430">
      <c r="A430" s="92"/>
      <c r="B430" s="79"/>
      <c r="C430" s="79"/>
      <c r="D430" s="43"/>
      <c r="E430" s="87"/>
      <c r="F430" s="87"/>
      <c r="G430" s="76">
        <f>IFERROR(vlookup(E430,Data!$A$2:$B$4,2,0), 0) + IFERROR(vlookup(F430,Data!$A$2:$B$4,2,0), 0)</f>
        <v>0</v>
      </c>
      <c r="H430" s="79"/>
    </row>
    <row r="431">
      <c r="A431" s="92"/>
      <c r="B431" s="79"/>
      <c r="C431" s="79"/>
      <c r="D431" s="43"/>
      <c r="E431" s="87"/>
      <c r="F431" s="87"/>
      <c r="G431" s="76">
        <f>IFERROR(vlookup(E431,Data!$A$2:$B$4,2,0), 0) + IFERROR(vlookup(F431,Data!$A$2:$B$4,2,0), 0)</f>
        <v>0</v>
      </c>
      <c r="H431" s="79"/>
    </row>
    <row r="432">
      <c r="A432" s="92"/>
      <c r="B432" s="79"/>
      <c r="C432" s="79"/>
      <c r="D432" s="43"/>
      <c r="E432" s="87"/>
      <c r="F432" s="87"/>
      <c r="G432" s="76">
        <f>IFERROR(vlookup(E432,Data!$A$2:$B$4,2,0), 0) + IFERROR(vlookup(F432,Data!$A$2:$B$4,2,0), 0)</f>
        <v>0</v>
      </c>
      <c r="H432" s="79"/>
    </row>
    <row r="433">
      <c r="A433" s="92"/>
      <c r="B433" s="79"/>
      <c r="C433" s="79"/>
      <c r="D433" s="43"/>
      <c r="E433" s="87"/>
      <c r="F433" s="87"/>
      <c r="G433" s="76">
        <f>IFERROR(vlookup(E433,Data!$A$2:$B$4,2,0), 0) + IFERROR(vlookup(F433,Data!$A$2:$B$4,2,0), 0)</f>
        <v>0</v>
      </c>
      <c r="H433" s="79"/>
    </row>
    <row r="434">
      <c r="A434" s="92"/>
      <c r="B434" s="79"/>
      <c r="C434" s="79"/>
      <c r="D434" s="43"/>
      <c r="E434" s="87"/>
      <c r="F434" s="87"/>
      <c r="G434" s="76">
        <f>IFERROR(vlookup(E434,Data!$A$2:$B$4,2,0), 0) + IFERROR(vlookup(F434,Data!$A$2:$B$4,2,0), 0)</f>
        <v>0</v>
      </c>
      <c r="H434" s="79"/>
    </row>
    <row r="435">
      <c r="A435" s="92"/>
      <c r="B435" s="79"/>
      <c r="C435" s="79"/>
      <c r="D435" s="43"/>
      <c r="E435" s="87"/>
      <c r="F435" s="87"/>
      <c r="G435" s="76">
        <f>IFERROR(vlookup(E435,Data!$A$2:$B$4,2,0), 0) + IFERROR(vlookup(F435,Data!$A$2:$B$4,2,0), 0)</f>
        <v>0</v>
      </c>
      <c r="H435" s="79"/>
    </row>
    <row r="436">
      <c r="A436" s="92"/>
      <c r="B436" s="79"/>
      <c r="C436" s="79"/>
      <c r="D436" s="43"/>
      <c r="E436" s="87"/>
      <c r="F436" s="87"/>
      <c r="G436" s="76">
        <f>IFERROR(vlookup(E436,Data!$A$2:$B$4,2,0), 0) + IFERROR(vlookup(F436,Data!$A$2:$B$4,2,0), 0)</f>
        <v>0</v>
      </c>
      <c r="H436" s="79"/>
    </row>
    <row r="437">
      <c r="A437" s="92"/>
      <c r="B437" s="79"/>
      <c r="C437" s="79"/>
      <c r="D437" s="43"/>
      <c r="E437" s="87"/>
      <c r="F437" s="87"/>
      <c r="G437" s="76">
        <f>IFERROR(vlookup(E437,Data!$A$2:$B$4,2,0), 0) + IFERROR(vlookup(F437,Data!$A$2:$B$4,2,0), 0)</f>
        <v>0</v>
      </c>
      <c r="H437" s="79"/>
    </row>
    <row r="438">
      <c r="A438" s="92"/>
      <c r="B438" s="79"/>
      <c r="C438" s="79"/>
      <c r="D438" s="43"/>
      <c r="E438" s="87"/>
      <c r="F438" s="87"/>
      <c r="G438" s="76">
        <f>IFERROR(vlookup(E438,Data!$A$2:$B$4,2,0), 0) + IFERROR(vlookup(F438,Data!$A$2:$B$4,2,0), 0)</f>
        <v>0</v>
      </c>
      <c r="H438" s="79"/>
    </row>
    <row r="439">
      <c r="A439" s="92"/>
      <c r="B439" s="79"/>
      <c r="C439" s="79"/>
      <c r="D439" s="43"/>
      <c r="E439" s="87"/>
      <c r="F439" s="87"/>
      <c r="G439" s="76">
        <f>IFERROR(vlookup(E439,Data!$A$2:$B$4,2,0), 0) + IFERROR(vlookup(F439,Data!$A$2:$B$4,2,0), 0)</f>
        <v>0</v>
      </c>
      <c r="H439" s="79"/>
    </row>
    <row r="440">
      <c r="A440" s="92"/>
      <c r="B440" s="79"/>
      <c r="C440" s="79"/>
      <c r="D440" s="43"/>
      <c r="E440" s="87"/>
      <c r="F440" s="87"/>
      <c r="G440" s="76">
        <f>IFERROR(vlookup(E440,Data!$A$2:$B$4,2,0), 0) + IFERROR(vlookup(F440,Data!$A$2:$B$4,2,0), 0)</f>
        <v>0</v>
      </c>
      <c r="H440" s="79"/>
    </row>
    <row r="441">
      <c r="A441" s="92"/>
      <c r="B441" s="79"/>
      <c r="C441" s="79"/>
      <c r="D441" s="43"/>
      <c r="E441" s="87"/>
      <c r="F441" s="87"/>
      <c r="G441" s="76">
        <f>IFERROR(vlookup(E441,Data!$A$2:$B$4,2,0), 0) + IFERROR(vlookup(F441,Data!$A$2:$B$4,2,0), 0)</f>
        <v>0</v>
      </c>
      <c r="H441" s="79"/>
    </row>
    <row r="442">
      <c r="A442" s="92"/>
      <c r="B442" s="79"/>
      <c r="C442" s="79"/>
      <c r="D442" s="43"/>
      <c r="E442" s="87"/>
      <c r="F442" s="87"/>
      <c r="G442" s="76">
        <f>IFERROR(vlookup(E442,Data!$A$2:$B$4,2,0), 0) + IFERROR(vlookup(F442,Data!$A$2:$B$4,2,0), 0)</f>
        <v>0</v>
      </c>
      <c r="H442" s="79"/>
    </row>
    <row r="443">
      <c r="A443" s="92"/>
      <c r="B443" s="79"/>
      <c r="C443" s="79"/>
      <c r="D443" s="43"/>
      <c r="E443" s="87"/>
      <c r="F443" s="87"/>
      <c r="G443" s="76">
        <f>IFERROR(vlookup(E443,Data!$A$2:$B$4,2,0), 0) + IFERROR(vlookup(F443,Data!$A$2:$B$4,2,0), 0)</f>
        <v>0</v>
      </c>
      <c r="H443" s="79"/>
    </row>
    <row r="444">
      <c r="A444" s="92"/>
      <c r="B444" s="79"/>
      <c r="C444" s="79"/>
      <c r="D444" s="43"/>
      <c r="E444" s="87"/>
      <c r="F444" s="87"/>
      <c r="G444" s="76">
        <f>IFERROR(vlookup(E444,Data!$A$2:$B$4,2,0), 0) + IFERROR(vlookup(F444,Data!$A$2:$B$4,2,0), 0)</f>
        <v>0</v>
      </c>
      <c r="H444" s="79"/>
    </row>
    <row r="445">
      <c r="A445" s="92"/>
      <c r="B445" s="79"/>
      <c r="C445" s="79"/>
      <c r="D445" s="43"/>
      <c r="E445" s="87"/>
      <c r="F445" s="87"/>
      <c r="G445" s="76">
        <f>IFERROR(vlookup(E445,Data!$A$2:$B$4,2,0), 0) + IFERROR(vlookup(F445,Data!$A$2:$B$4,2,0), 0)</f>
        <v>0</v>
      </c>
      <c r="H445" s="79"/>
    </row>
    <row r="446">
      <c r="A446" s="92"/>
      <c r="B446" s="79"/>
      <c r="C446" s="79"/>
      <c r="D446" s="43"/>
      <c r="E446" s="87"/>
      <c r="F446" s="87"/>
      <c r="G446" s="76">
        <f>IFERROR(vlookup(E446,Data!$A$2:$B$4,2,0), 0) + IFERROR(vlookup(F446,Data!$A$2:$B$4,2,0), 0)</f>
        <v>0</v>
      </c>
      <c r="H446" s="79"/>
    </row>
    <row r="447">
      <c r="A447" s="92"/>
      <c r="B447" s="79"/>
      <c r="C447" s="79"/>
      <c r="D447" s="43"/>
      <c r="E447" s="87"/>
      <c r="F447" s="87"/>
      <c r="G447" s="76">
        <f>IFERROR(vlookup(E447,Data!$A$2:$B$4,2,0), 0) + IFERROR(vlookup(F447,Data!$A$2:$B$4,2,0), 0)</f>
        <v>0</v>
      </c>
      <c r="H447" s="79"/>
    </row>
    <row r="448">
      <c r="A448" s="92"/>
      <c r="B448" s="79"/>
      <c r="C448" s="79"/>
      <c r="D448" s="43"/>
      <c r="E448" s="87"/>
      <c r="F448" s="87"/>
      <c r="G448" s="76">
        <f>IFERROR(vlookup(E448,Data!$A$2:$B$4,2,0), 0) + IFERROR(vlookup(F448,Data!$A$2:$B$4,2,0), 0)</f>
        <v>0</v>
      </c>
      <c r="H448" s="79"/>
    </row>
    <row r="449">
      <c r="A449" s="92"/>
      <c r="B449" s="79"/>
      <c r="C449" s="79"/>
      <c r="D449" s="43"/>
      <c r="E449" s="87"/>
      <c r="F449" s="87"/>
      <c r="G449" s="76">
        <f>IFERROR(vlookup(E449,Data!$A$2:$B$4,2,0), 0) + IFERROR(vlookup(F449,Data!$A$2:$B$4,2,0), 0)</f>
        <v>0</v>
      </c>
      <c r="H449" s="79"/>
    </row>
    <row r="450">
      <c r="A450" s="92"/>
      <c r="B450" s="79"/>
      <c r="C450" s="79"/>
      <c r="D450" s="43"/>
      <c r="E450" s="87"/>
      <c r="F450" s="87"/>
      <c r="G450" s="76">
        <f>IFERROR(vlookup(E450,Data!$A$2:$B$4,2,0), 0) + IFERROR(vlookup(F450,Data!$A$2:$B$4,2,0), 0)</f>
        <v>0</v>
      </c>
      <c r="H450" s="79"/>
    </row>
    <row r="451">
      <c r="A451" s="92"/>
      <c r="B451" s="79"/>
      <c r="C451" s="79"/>
      <c r="D451" s="43"/>
      <c r="E451" s="87"/>
      <c r="F451" s="87"/>
      <c r="G451" s="76">
        <f>IFERROR(vlookup(E451,Data!$A$2:$B$4,2,0), 0) + IFERROR(vlookup(F451,Data!$A$2:$B$4,2,0), 0)</f>
        <v>0</v>
      </c>
      <c r="H451" s="79"/>
    </row>
    <row r="452">
      <c r="A452" s="92"/>
      <c r="B452" s="79"/>
      <c r="C452" s="79"/>
      <c r="D452" s="43"/>
      <c r="E452" s="87"/>
      <c r="F452" s="87"/>
      <c r="G452" s="76">
        <f>IFERROR(vlookup(E452,Data!$A$2:$B$4,2,0), 0) + IFERROR(vlookup(F452,Data!$A$2:$B$4,2,0), 0)</f>
        <v>0</v>
      </c>
      <c r="H452" s="79"/>
    </row>
    <row r="453">
      <c r="A453" s="92"/>
      <c r="B453" s="79"/>
      <c r="C453" s="79"/>
      <c r="D453" s="43"/>
      <c r="E453" s="87"/>
      <c r="F453" s="87"/>
      <c r="G453" s="76">
        <f>IFERROR(vlookup(E453,Data!$A$2:$B$4,2,0), 0) + IFERROR(vlookup(F453,Data!$A$2:$B$4,2,0), 0)</f>
        <v>0</v>
      </c>
      <c r="H453" s="79"/>
    </row>
    <row r="454">
      <c r="A454" s="92"/>
      <c r="B454" s="79"/>
      <c r="C454" s="79"/>
      <c r="D454" s="43"/>
      <c r="E454" s="87"/>
      <c r="F454" s="87"/>
      <c r="G454" s="76">
        <f>IFERROR(vlookup(E454,Data!$A$2:$B$4,2,0), 0) + IFERROR(vlookup(F454,Data!$A$2:$B$4,2,0), 0)</f>
        <v>0</v>
      </c>
      <c r="H454" s="79"/>
    </row>
    <row r="455">
      <c r="A455" s="92"/>
      <c r="B455" s="79"/>
      <c r="C455" s="79"/>
      <c r="D455" s="43"/>
      <c r="E455" s="87"/>
      <c r="F455" s="87"/>
      <c r="G455" s="76">
        <f>IFERROR(vlookup(E455,Data!$A$2:$B$4,2,0), 0) + IFERROR(vlookup(F455,Data!$A$2:$B$4,2,0), 0)</f>
        <v>0</v>
      </c>
      <c r="H455" s="79"/>
    </row>
    <row r="456">
      <c r="A456" s="92"/>
      <c r="B456" s="79"/>
      <c r="C456" s="79"/>
      <c r="D456" s="43"/>
      <c r="E456" s="87"/>
      <c r="F456" s="87"/>
      <c r="G456" s="76">
        <f>IFERROR(vlookup(E456,Data!$A$2:$B$4,2,0), 0) + IFERROR(vlookup(F456,Data!$A$2:$B$4,2,0), 0)</f>
        <v>0</v>
      </c>
      <c r="H456" s="79"/>
    </row>
    <row r="457">
      <c r="A457" s="92"/>
      <c r="B457" s="79"/>
      <c r="C457" s="79"/>
      <c r="D457" s="43"/>
      <c r="E457" s="87"/>
      <c r="F457" s="87"/>
      <c r="G457" s="76">
        <f>IFERROR(vlookup(E457,Data!$A$2:$B$4,2,0), 0) + IFERROR(vlookup(F457,Data!$A$2:$B$4,2,0), 0)</f>
        <v>0</v>
      </c>
      <c r="H457" s="79"/>
    </row>
    <row r="458">
      <c r="A458" s="92"/>
      <c r="B458" s="79"/>
      <c r="C458" s="79"/>
      <c r="D458" s="43"/>
      <c r="E458" s="87"/>
      <c r="F458" s="87"/>
      <c r="G458" s="76">
        <f>IFERROR(vlookup(E458,Data!$A$2:$B$4,2,0), 0) + IFERROR(vlookup(F458,Data!$A$2:$B$4,2,0), 0)</f>
        <v>0</v>
      </c>
      <c r="H458" s="79"/>
    </row>
    <row r="459">
      <c r="A459" s="92"/>
      <c r="B459" s="79"/>
      <c r="C459" s="79"/>
      <c r="D459" s="43"/>
      <c r="E459" s="87"/>
      <c r="F459" s="87"/>
      <c r="G459" s="76">
        <f>IFERROR(vlookup(E459,Data!$A$2:$B$4,2,0), 0) + IFERROR(vlookup(F459,Data!$A$2:$B$4,2,0), 0)</f>
        <v>0</v>
      </c>
      <c r="H459" s="79"/>
    </row>
    <row r="460">
      <c r="A460" s="92"/>
      <c r="B460" s="79"/>
      <c r="C460" s="79"/>
      <c r="D460" s="43"/>
      <c r="E460" s="87"/>
      <c r="F460" s="87"/>
      <c r="G460" s="76">
        <f>IFERROR(vlookup(E460,Data!$A$2:$B$4,2,0), 0) + IFERROR(vlookup(F460,Data!$A$2:$B$4,2,0), 0)</f>
        <v>0</v>
      </c>
      <c r="H460" s="79"/>
    </row>
    <row r="461">
      <c r="A461" s="92"/>
      <c r="B461" s="79"/>
      <c r="C461" s="79"/>
      <c r="D461" s="43"/>
      <c r="E461" s="87"/>
      <c r="F461" s="87"/>
      <c r="G461" s="76">
        <f>IFERROR(vlookup(E461,Data!$A$2:$B$4,2,0), 0) + IFERROR(vlookup(F461,Data!$A$2:$B$4,2,0), 0)</f>
        <v>0</v>
      </c>
      <c r="H461" s="79"/>
    </row>
    <row r="462">
      <c r="A462" s="92"/>
      <c r="B462" s="79"/>
      <c r="C462" s="79"/>
      <c r="D462" s="43"/>
      <c r="E462" s="87"/>
      <c r="F462" s="87"/>
      <c r="G462" s="76">
        <f>IFERROR(vlookup(E462,Data!$A$2:$B$4,2,0), 0) + IFERROR(vlookup(F462,Data!$A$2:$B$4,2,0), 0)</f>
        <v>0</v>
      </c>
      <c r="H462" s="79"/>
    </row>
    <row r="463">
      <c r="A463" s="92"/>
      <c r="B463" s="79"/>
      <c r="C463" s="79"/>
      <c r="D463" s="43"/>
      <c r="E463" s="87"/>
      <c r="F463" s="87"/>
      <c r="G463" s="76">
        <f>IFERROR(vlookup(E463,Data!$A$2:$B$4,2,0), 0) + IFERROR(vlookup(F463,Data!$A$2:$B$4,2,0), 0)</f>
        <v>0</v>
      </c>
      <c r="H463" s="79"/>
    </row>
    <row r="464">
      <c r="A464" s="92"/>
      <c r="B464" s="79"/>
      <c r="C464" s="79"/>
      <c r="D464" s="43"/>
      <c r="E464" s="87"/>
      <c r="F464" s="87"/>
      <c r="G464" s="76">
        <f>IFERROR(vlookup(E464,Data!$A$2:$B$4,2,0), 0) + IFERROR(vlookup(F464,Data!$A$2:$B$4,2,0), 0)</f>
        <v>0</v>
      </c>
      <c r="H464" s="79"/>
    </row>
    <row r="465">
      <c r="A465" s="92"/>
      <c r="B465" s="79"/>
      <c r="C465" s="79"/>
      <c r="D465" s="43"/>
      <c r="E465" s="87"/>
      <c r="F465" s="87"/>
      <c r="G465" s="76">
        <f>IFERROR(vlookup(E465,Data!$A$2:$B$4,2,0), 0) + IFERROR(vlookup(F465,Data!$A$2:$B$4,2,0), 0)</f>
        <v>0</v>
      </c>
      <c r="H465" s="79"/>
    </row>
    <row r="466">
      <c r="A466" s="92"/>
      <c r="B466" s="79"/>
      <c r="C466" s="79"/>
      <c r="D466" s="43"/>
      <c r="E466" s="87"/>
      <c r="F466" s="87"/>
      <c r="G466" s="76">
        <f>IFERROR(vlookup(E466,Data!$A$2:$B$4,2,0), 0) + IFERROR(vlookup(F466,Data!$A$2:$B$4,2,0), 0)</f>
        <v>0</v>
      </c>
      <c r="H466" s="79"/>
    </row>
    <row r="467">
      <c r="A467" s="92"/>
      <c r="B467" s="79"/>
      <c r="C467" s="79"/>
      <c r="D467" s="43"/>
      <c r="E467" s="87"/>
      <c r="F467" s="87"/>
      <c r="G467" s="76">
        <f>IFERROR(vlookup(E467,Data!$A$2:$B$4,2,0), 0) + IFERROR(vlookup(F467,Data!$A$2:$B$4,2,0), 0)</f>
        <v>0</v>
      </c>
      <c r="H467" s="79"/>
    </row>
    <row r="468">
      <c r="A468" s="92"/>
      <c r="B468" s="79"/>
      <c r="C468" s="79"/>
      <c r="D468" s="43"/>
      <c r="E468" s="87"/>
      <c r="F468" s="87"/>
      <c r="G468" s="76">
        <f>IFERROR(vlookup(E468,Data!$A$2:$B$4,2,0), 0) + IFERROR(vlookup(F468,Data!$A$2:$B$4,2,0), 0)</f>
        <v>0</v>
      </c>
      <c r="H468" s="79"/>
    </row>
    <row r="469">
      <c r="A469" s="92"/>
      <c r="B469" s="79"/>
      <c r="C469" s="79"/>
      <c r="D469" s="43"/>
      <c r="E469" s="87"/>
      <c r="F469" s="87"/>
      <c r="G469" s="76">
        <f>IFERROR(vlookup(E469,Data!$A$2:$B$4,2,0), 0) + IFERROR(vlookup(F469,Data!$A$2:$B$4,2,0), 0)</f>
        <v>0</v>
      </c>
      <c r="H469" s="79"/>
    </row>
    <row r="470">
      <c r="A470" s="92"/>
      <c r="B470" s="79"/>
      <c r="C470" s="79"/>
      <c r="D470" s="43"/>
      <c r="E470" s="87"/>
      <c r="F470" s="87"/>
      <c r="G470" s="76">
        <f>IFERROR(vlookup(E470,Data!$A$2:$B$4,2,0), 0) + IFERROR(vlookup(F470,Data!$A$2:$B$4,2,0), 0)</f>
        <v>0</v>
      </c>
      <c r="H470" s="79"/>
    </row>
    <row r="471">
      <c r="A471" s="92"/>
      <c r="B471" s="79"/>
      <c r="C471" s="79"/>
      <c r="D471" s="43"/>
      <c r="E471" s="87"/>
      <c r="F471" s="87"/>
      <c r="G471" s="76">
        <f>IFERROR(vlookup(E471,Data!$A$2:$B$4,2,0), 0) + IFERROR(vlookup(F471,Data!$A$2:$B$4,2,0), 0)</f>
        <v>0</v>
      </c>
      <c r="H471" s="79"/>
    </row>
    <row r="472">
      <c r="A472" s="92"/>
      <c r="B472" s="79"/>
      <c r="C472" s="79"/>
      <c r="D472" s="43"/>
      <c r="E472" s="87"/>
      <c r="F472" s="87"/>
      <c r="G472" s="76">
        <f>IFERROR(vlookup(E472,Data!$A$2:$B$4,2,0), 0) + IFERROR(vlookup(F472,Data!$A$2:$B$4,2,0), 0)</f>
        <v>0</v>
      </c>
      <c r="H472" s="79"/>
    </row>
    <row r="473">
      <c r="A473" s="92"/>
      <c r="B473" s="79"/>
      <c r="C473" s="79"/>
      <c r="D473" s="43"/>
      <c r="E473" s="87"/>
      <c r="F473" s="87"/>
      <c r="G473" s="76">
        <f>IFERROR(vlookup(E473,Data!$A$2:$B$4,2,0), 0) + IFERROR(vlookup(F473,Data!$A$2:$B$4,2,0), 0)</f>
        <v>0</v>
      </c>
      <c r="H473" s="79"/>
    </row>
    <row r="474">
      <c r="A474" s="92"/>
      <c r="B474" s="79"/>
      <c r="C474" s="79"/>
      <c r="D474" s="43"/>
      <c r="E474" s="87"/>
      <c r="F474" s="87"/>
      <c r="G474" s="76">
        <f>IFERROR(vlookup(E474,Data!$A$2:$B$4,2,0), 0) + IFERROR(vlookup(F474,Data!$A$2:$B$4,2,0), 0)</f>
        <v>0</v>
      </c>
      <c r="H474" s="79"/>
    </row>
    <row r="475">
      <c r="A475" s="92"/>
      <c r="B475" s="79"/>
      <c r="C475" s="79"/>
      <c r="D475" s="43"/>
      <c r="E475" s="87"/>
      <c r="F475" s="87"/>
      <c r="G475" s="76">
        <f>IFERROR(vlookup(E475,Data!$A$2:$B$4,2,0), 0) + IFERROR(vlookup(F475,Data!$A$2:$B$4,2,0), 0)</f>
        <v>0</v>
      </c>
      <c r="H475" s="79"/>
    </row>
    <row r="476">
      <c r="A476" s="92"/>
      <c r="B476" s="79"/>
      <c r="C476" s="79"/>
      <c r="D476" s="43"/>
      <c r="E476" s="87"/>
      <c r="F476" s="87"/>
      <c r="G476" s="76">
        <f>IFERROR(vlookup(E476,Data!$A$2:$B$4,2,0), 0) + IFERROR(vlookup(F476,Data!$A$2:$B$4,2,0), 0)</f>
        <v>0</v>
      </c>
      <c r="H476" s="79"/>
    </row>
    <row r="477">
      <c r="A477" s="92"/>
      <c r="B477" s="79"/>
      <c r="C477" s="79"/>
      <c r="D477" s="43"/>
      <c r="E477" s="87"/>
      <c r="F477" s="87"/>
      <c r="G477" s="76">
        <f>IFERROR(vlookup(E477,Data!$A$2:$B$4,2,0), 0) + IFERROR(vlookup(F477,Data!$A$2:$B$4,2,0), 0)</f>
        <v>0</v>
      </c>
      <c r="H477" s="79"/>
    </row>
    <row r="478">
      <c r="A478" s="92"/>
      <c r="B478" s="79"/>
      <c r="C478" s="79"/>
      <c r="D478" s="43"/>
      <c r="E478" s="87"/>
      <c r="F478" s="87"/>
      <c r="G478" s="76">
        <f>IFERROR(vlookup(E478,Data!$A$2:$B$4,2,0), 0) + IFERROR(vlookup(F478,Data!$A$2:$B$4,2,0), 0)</f>
        <v>0</v>
      </c>
      <c r="H478" s="79"/>
    </row>
    <row r="479">
      <c r="A479" s="92"/>
      <c r="B479" s="79"/>
      <c r="C479" s="79"/>
      <c r="D479" s="43"/>
      <c r="E479" s="87"/>
      <c r="F479" s="87"/>
      <c r="G479" s="76">
        <f>IFERROR(vlookup(E479,Data!$A$2:$B$4,2,0), 0) + IFERROR(vlookup(F479,Data!$A$2:$B$4,2,0), 0)</f>
        <v>0</v>
      </c>
      <c r="H479" s="79"/>
    </row>
    <row r="480">
      <c r="A480" s="92"/>
      <c r="B480" s="79"/>
      <c r="C480" s="79"/>
      <c r="D480" s="43"/>
      <c r="E480" s="87"/>
      <c r="F480" s="87"/>
      <c r="G480" s="76">
        <f>IFERROR(vlookup(E480,Data!$A$2:$B$4,2,0), 0) + IFERROR(vlookup(F480,Data!$A$2:$B$4,2,0), 0)</f>
        <v>0</v>
      </c>
      <c r="H480" s="79"/>
    </row>
    <row r="481">
      <c r="A481" s="92"/>
      <c r="B481" s="79"/>
      <c r="C481" s="79"/>
      <c r="D481" s="43"/>
      <c r="E481" s="87"/>
      <c r="F481" s="87"/>
      <c r="G481" s="76">
        <f>IFERROR(vlookup(E481,Data!$A$2:$B$4,2,0), 0) + IFERROR(vlookup(F481,Data!$A$2:$B$4,2,0), 0)</f>
        <v>0</v>
      </c>
      <c r="H481" s="79"/>
    </row>
    <row r="482">
      <c r="A482" s="92"/>
      <c r="B482" s="79"/>
      <c r="C482" s="79"/>
      <c r="D482" s="43"/>
      <c r="E482" s="87"/>
      <c r="F482" s="87"/>
      <c r="G482" s="76">
        <f>IFERROR(vlookup(E482,Data!$A$2:$B$4,2,0), 0) + IFERROR(vlookup(F482,Data!$A$2:$B$4,2,0), 0)</f>
        <v>0</v>
      </c>
      <c r="H482" s="79"/>
    </row>
    <row r="483">
      <c r="A483" s="92"/>
      <c r="B483" s="79"/>
      <c r="C483" s="79"/>
      <c r="D483" s="43"/>
      <c r="E483" s="87"/>
      <c r="F483" s="87"/>
      <c r="G483" s="76">
        <f>IFERROR(vlookup(E483,Data!$A$2:$B$4,2,0), 0) + IFERROR(vlookup(F483,Data!$A$2:$B$4,2,0), 0)</f>
        <v>0</v>
      </c>
      <c r="H483" s="79"/>
    </row>
    <row r="484">
      <c r="A484" s="92"/>
      <c r="B484" s="79"/>
      <c r="C484" s="79"/>
      <c r="D484" s="43"/>
      <c r="E484" s="87"/>
      <c r="F484" s="87"/>
      <c r="G484" s="76">
        <f>IFERROR(vlookup(E484,Data!$A$2:$B$4,2,0), 0) + IFERROR(vlookup(F484,Data!$A$2:$B$4,2,0), 0)</f>
        <v>0</v>
      </c>
      <c r="H484" s="79"/>
    </row>
    <row r="485">
      <c r="A485" s="92"/>
      <c r="B485" s="79"/>
      <c r="C485" s="79"/>
      <c r="D485" s="43"/>
      <c r="E485" s="87"/>
      <c r="F485" s="87"/>
      <c r="G485" s="76">
        <f>IFERROR(vlookup(E485,Data!$A$2:$B$4,2,0), 0) + IFERROR(vlookup(F485,Data!$A$2:$B$4,2,0), 0)</f>
        <v>0</v>
      </c>
      <c r="H485" s="79"/>
    </row>
    <row r="486">
      <c r="A486" s="92"/>
      <c r="B486" s="79"/>
      <c r="C486" s="79"/>
      <c r="D486" s="43"/>
      <c r="E486" s="87"/>
      <c r="F486" s="87"/>
      <c r="G486" s="76">
        <f>IFERROR(vlookup(E486,Data!$A$2:$B$4,2,0), 0) + IFERROR(vlookup(F486,Data!$A$2:$B$4,2,0), 0)</f>
        <v>0</v>
      </c>
      <c r="H486" s="79"/>
    </row>
    <row r="487">
      <c r="A487" s="92"/>
      <c r="B487" s="79"/>
      <c r="C487" s="79"/>
      <c r="D487" s="43"/>
      <c r="E487" s="87"/>
      <c r="F487" s="87"/>
      <c r="G487" s="76">
        <f>IFERROR(vlookup(E487,Data!$A$2:$B$4,2,0), 0) + IFERROR(vlookup(F487,Data!$A$2:$B$4,2,0), 0)</f>
        <v>0</v>
      </c>
      <c r="H487" s="79"/>
    </row>
    <row r="488">
      <c r="A488" s="92"/>
      <c r="B488" s="79"/>
      <c r="C488" s="79"/>
      <c r="D488" s="43"/>
      <c r="E488" s="87"/>
      <c r="F488" s="87"/>
      <c r="G488" s="76">
        <f>IFERROR(vlookup(E488,Data!$A$2:$B$4,2,0), 0) + IFERROR(vlookup(F488,Data!$A$2:$B$4,2,0), 0)</f>
        <v>0</v>
      </c>
      <c r="H488" s="79"/>
    </row>
    <row r="489">
      <c r="A489" s="92"/>
      <c r="B489" s="79"/>
      <c r="C489" s="79"/>
      <c r="D489" s="43"/>
      <c r="E489" s="87"/>
      <c r="F489" s="87"/>
      <c r="G489" s="76">
        <f>IFERROR(vlookup(E489,Data!$A$2:$B$4,2,0), 0) + IFERROR(vlookup(F489,Data!$A$2:$B$4,2,0), 0)</f>
        <v>0</v>
      </c>
      <c r="H489" s="79"/>
    </row>
    <row r="490">
      <c r="A490" s="92"/>
      <c r="B490" s="79"/>
      <c r="C490" s="79"/>
      <c r="D490" s="43"/>
      <c r="E490" s="87"/>
      <c r="F490" s="87"/>
      <c r="G490" s="76">
        <f>IFERROR(vlookup(E490,Data!$A$2:$B$4,2,0), 0) + IFERROR(vlookup(F490,Data!$A$2:$B$4,2,0), 0)</f>
        <v>0</v>
      </c>
      <c r="H490" s="79"/>
    </row>
    <row r="491">
      <c r="A491" s="92"/>
      <c r="B491" s="79"/>
      <c r="C491" s="79"/>
      <c r="D491" s="43"/>
      <c r="E491" s="87"/>
      <c r="F491" s="87"/>
      <c r="G491" s="76">
        <f>IFERROR(vlookup(E491,Data!$A$2:$B$4,2,0), 0) + IFERROR(vlookup(F491,Data!$A$2:$B$4,2,0), 0)</f>
        <v>0</v>
      </c>
      <c r="H491" s="79"/>
    </row>
    <row r="492">
      <c r="A492" s="92"/>
      <c r="B492" s="79"/>
      <c r="C492" s="79"/>
      <c r="D492" s="43"/>
      <c r="E492" s="87"/>
      <c r="F492" s="87"/>
      <c r="G492" s="76">
        <f>IFERROR(vlookup(E492,Data!$A$2:$B$4,2,0), 0) + IFERROR(vlookup(F492,Data!$A$2:$B$4,2,0), 0)</f>
        <v>0</v>
      </c>
      <c r="H492" s="79"/>
    </row>
    <row r="493">
      <c r="A493" s="92"/>
      <c r="B493" s="79"/>
      <c r="C493" s="79"/>
      <c r="D493" s="43"/>
      <c r="E493" s="87"/>
      <c r="F493" s="87"/>
      <c r="G493" s="76">
        <f>IFERROR(vlookup(E493,Data!$A$2:$B$4,2,0), 0) + IFERROR(vlookup(F493,Data!$A$2:$B$4,2,0), 0)</f>
        <v>0</v>
      </c>
      <c r="H493" s="79"/>
    </row>
    <row r="494">
      <c r="A494" s="92"/>
      <c r="B494" s="79"/>
      <c r="C494" s="79"/>
      <c r="D494" s="43"/>
      <c r="E494" s="87"/>
      <c r="F494" s="87"/>
      <c r="G494" s="76">
        <f>IFERROR(vlookup(E494,Data!$A$2:$B$4,2,0), 0) + IFERROR(vlookup(F494,Data!$A$2:$B$4,2,0), 0)</f>
        <v>0</v>
      </c>
      <c r="H494" s="79"/>
    </row>
    <row r="495">
      <c r="A495" s="92"/>
      <c r="B495" s="79"/>
      <c r="C495" s="79"/>
      <c r="D495" s="43"/>
      <c r="E495" s="87"/>
      <c r="F495" s="87"/>
      <c r="G495" s="76">
        <f>IFERROR(vlookup(E495,Data!$A$2:$B$4,2,0), 0) + IFERROR(vlookup(F495,Data!$A$2:$B$4,2,0), 0)</f>
        <v>0</v>
      </c>
      <c r="H495" s="79"/>
    </row>
    <row r="496">
      <c r="A496" s="92"/>
      <c r="B496" s="79"/>
      <c r="C496" s="79"/>
      <c r="D496" s="43"/>
      <c r="E496" s="87"/>
      <c r="F496" s="87"/>
      <c r="G496" s="76">
        <f>IFERROR(vlookup(E496,Data!$A$2:$B$4,2,0), 0) + IFERROR(vlookup(F496,Data!$A$2:$B$4,2,0), 0)</f>
        <v>0</v>
      </c>
      <c r="H496" s="79"/>
    </row>
    <row r="497">
      <c r="A497" s="92"/>
      <c r="B497" s="79"/>
      <c r="C497" s="79"/>
      <c r="D497" s="43"/>
      <c r="E497" s="87"/>
      <c r="F497" s="87"/>
      <c r="G497" s="76">
        <f>IFERROR(vlookup(E497,Data!$A$2:$B$4,2,0), 0) + IFERROR(vlookup(F497,Data!$A$2:$B$4,2,0), 0)</f>
        <v>0</v>
      </c>
      <c r="H497" s="79"/>
    </row>
    <row r="498">
      <c r="A498" s="92"/>
      <c r="B498" s="79"/>
      <c r="C498" s="79"/>
      <c r="D498" s="43"/>
      <c r="E498" s="87"/>
      <c r="F498" s="87"/>
      <c r="G498" s="76">
        <f>IFERROR(vlookup(E498,Data!$A$2:$B$4,2,0), 0) + IFERROR(vlookup(F498,Data!$A$2:$B$4,2,0), 0)</f>
        <v>0</v>
      </c>
      <c r="H498" s="79"/>
    </row>
    <row r="499">
      <c r="A499" s="92"/>
      <c r="B499" s="79"/>
      <c r="C499" s="79"/>
      <c r="D499" s="43"/>
      <c r="E499" s="87"/>
      <c r="F499" s="87"/>
      <c r="G499" s="76">
        <f>IFERROR(vlookup(E499,Data!$A$2:$B$4,2,0), 0) + IFERROR(vlookup(F499,Data!$A$2:$B$4,2,0), 0)</f>
        <v>0</v>
      </c>
      <c r="H499" s="79"/>
    </row>
    <row r="500">
      <c r="A500" s="92"/>
      <c r="B500" s="79"/>
      <c r="C500" s="79"/>
      <c r="D500" s="43"/>
      <c r="E500" s="87"/>
      <c r="F500" s="87"/>
      <c r="G500" s="76">
        <f>IFERROR(vlookup(E500,Data!$A$2:$B$4,2,0), 0) + IFERROR(vlookup(F500,Data!$A$2:$B$4,2,0), 0)</f>
        <v>0</v>
      </c>
      <c r="H500" s="79"/>
    </row>
    <row r="501">
      <c r="A501" s="92"/>
      <c r="B501" s="79"/>
      <c r="C501" s="79"/>
      <c r="D501" s="43"/>
      <c r="E501" s="87"/>
      <c r="F501" s="87"/>
      <c r="G501" s="76">
        <f>IFERROR(vlookup(E501,Data!$A$2:$B$4,2,0), 0) + IFERROR(vlookup(F501,Data!$A$2:$B$4,2,0), 0)</f>
        <v>0</v>
      </c>
      <c r="H501" s="79"/>
    </row>
    <row r="502">
      <c r="A502" s="92"/>
      <c r="B502" s="79"/>
      <c r="C502" s="79"/>
      <c r="D502" s="43"/>
      <c r="E502" s="87"/>
      <c r="F502" s="87"/>
      <c r="G502" s="76">
        <f>IFERROR(vlookup(E502,Data!$A$2:$B$4,2,0), 0) + IFERROR(vlookup(F502,Data!$A$2:$B$4,2,0), 0)</f>
        <v>0</v>
      </c>
      <c r="H502" s="79"/>
    </row>
    <row r="503">
      <c r="A503" s="92"/>
      <c r="B503" s="79"/>
      <c r="C503" s="79"/>
      <c r="D503" s="43"/>
      <c r="E503" s="87"/>
      <c r="F503" s="87"/>
      <c r="G503" s="76">
        <f>IFERROR(vlookup(E503,Data!$A$2:$B$4,2,0), 0) + IFERROR(vlookup(F503,Data!$A$2:$B$4,2,0), 0)</f>
        <v>0</v>
      </c>
      <c r="H503" s="79"/>
    </row>
    <row r="504">
      <c r="A504" s="92"/>
      <c r="B504" s="79"/>
      <c r="C504" s="79"/>
      <c r="D504" s="43"/>
      <c r="E504" s="87"/>
      <c r="F504" s="87"/>
      <c r="G504" s="76">
        <f>IFERROR(vlookup(E504,Data!$A$2:$B$4,2,0), 0) + IFERROR(vlookup(F504,Data!$A$2:$B$4,2,0), 0)</f>
        <v>0</v>
      </c>
      <c r="H504" s="79"/>
    </row>
    <row r="505">
      <c r="A505" s="92"/>
      <c r="B505" s="79"/>
      <c r="C505" s="79"/>
      <c r="D505" s="43"/>
      <c r="E505" s="87"/>
      <c r="F505" s="87"/>
      <c r="G505" s="76">
        <f>IFERROR(vlookup(E505,Data!$A$2:$B$4,2,0), 0) + IFERROR(vlookup(F505,Data!$A$2:$B$4,2,0), 0)</f>
        <v>0</v>
      </c>
      <c r="H505" s="79"/>
    </row>
    <row r="506">
      <c r="A506" s="92"/>
      <c r="B506" s="79"/>
      <c r="C506" s="79"/>
      <c r="D506" s="43"/>
      <c r="E506" s="87"/>
      <c r="F506" s="87"/>
      <c r="G506" s="76">
        <f>IFERROR(vlookup(E506,Data!$A$2:$B$4,2,0), 0) + IFERROR(vlookup(F506,Data!$A$2:$B$4,2,0), 0)</f>
        <v>0</v>
      </c>
      <c r="H506" s="79"/>
    </row>
    <row r="507">
      <c r="A507" s="92"/>
      <c r="B507" s="79"/>
      <c r="C507" s="79"/>
      <c r="D507" s="43"/>
      <c r="E507" s="87"/>
      <c r="F507" s="87"/>
      <c r="G507" s="76">
        <f>IFERROR(vlookup(E507,Data!$A$2:$B$4,2,0), 0) + IFERROR(vlookup(F507,Data!$A$2:$B$4,2,0), 0)</f>
        <v>0</v>
      </c>
      <c r="H507" s="79"/>
    </row>
    <row r="508">
      <c r="A508" s="92"/>
      <c r="B508" s="79"/>
      <c r="C508" s="79"/>
      <c r="D508" s="43"/>
      <c r="E508" s="87"/>
      <c r="F508" s="87"/>
      <c r="G508" s="76">
        <f>IFERROR(vlookup(E508,Data!$A$2:$B$4,2,0), 0) + IFERROR(vlookup(F508,Data!$A$2:$B$4,2,0), 0)</f>
        <v>0</v>
      </c>
      <c r="H508" s="79"/>
    </row>
    <row r="509">
      <c r="A509" s="92"/>
      <c r="B509" s="79"/>
      <c r="C509" s="79"/>
      <c r="D509" s="43"/>
      <c r="E509" s="87"/>
      <c r="F509" s="87"/>
      <c r="G509" s="76">
        <f>IFERROR(vlookup(E509,Data!$A$2:$B$4,2,0), 0) + IFERROR(vlookup(F509,Data!$A$2:$B$4,2,0), 0)</f>
        <v>0</v>
      </c>
      <c r="H509" s="79"/>
    </row>
    <row r="510">
      <c r="A510" s="92"/>
      <c r="B510" s="79"/>
      <c r="C510" s="79"/>
      <c r="D510" s="43"/>
      <c r="E510" s="87"/>
      <c r="F510" s="87"/>
      <c r="G510" s="76">
        <f>IFERROR(vlookup(E510,Data!$A$2:$B$4,2,0), 0) + IFERROR(vlookup(F510,Data!$A$2:$B$4,2,0), 0)</f>
        <v>0</v>
      </c>
      <c r="H510" s="79"/>
    </row>
    <row r="511">
      <c r="A511" s="92"/>
      <c r="B511" s="79"/>
      <c r="C511" s="79"/>
      <c r="D511" s="43"/>
      <c r="E511" s="87"/>
      <c r="F511" s="87"/>
      <c r="G511" s="76">
        <f>IFERROR(vlookup(E511,Data!$A$2:$B$4,2,0), 0) + IFERROR(vlookup(F511,Data!$A$2:$B$4,2,0), 0)</f>
        <v>0</v>
      </c>
      <c r="H511" s="79"/>
    </row>
    <row r="512">
      <c r="A512" s="92"/>
      <c r="B512" s="79"/>
      <c r="C512" s="79"/>
      <c r="D512" s="43"/>
      <c r="E512" s="87"/>
      <c r="F512" s="87"/>
      <c r="G512" s="76">
        <f>IFERROR(vlookup(E512,Data!$A$2:$B$4,2,0), 0) + IFERROR(vlookup(F512,Data!$A$2:$B$4,2,0), 0)</f>
        <v>0</v>
      </c>
      <c r="H512" s="79"/>
    </row>
    <row r="513">
      <c r="A513" s="92"/>
      <c r="B513" s="79"/>
      <c r="C513" s="79"/>
      <c r="D513" s="43"/>
      <c r="E513" s="87"/>
      <c r="F513" s="87"/>
      <c r="G513" s="76">
        <f>IFERROR(vlookup(E513,Data!$A$2:$B$4,2,0), 0) + IFERROR(vlookup(F513,Data!$A$2:$B$4,2,0), 0)</f>
        <v>0</v>
      </c>
      <c r="H513" s="79"/>
    </row>
    <row r="514">
      <c r="A514" s="92"/>
      <c r="B514" s="79"/>
      <c r="C514" s="79"/>
      <c r="D514" s="43"/>
      <c r="E514" s="87"/>
      <c r="F514" s="87"/>
      <c r="G514" s="76">
        <f>IFERROR(vlookup(E514,Data!$A$2:$B$4,2,0), 0) + IFERROR(vlookup(F514,Data!$A$2:$B$4,2,0), 0)</f>
        <v>0</v>
      </c>
      <c r="H514" s="79"/>
    </row>
    <row r="515">
      <c r="A515" s="92"/>
      <c r="B515" s="79"/>
      <c r="C515" s="79"/>
      <c r="D515" s="43"/>
      <c r="E515" s="87"/>
      <c r="F515" s="87"/>
      <c r="G515" s="76">
        <f>IFERROR(vlookup(E515,Data!$A$2:$B$4,2,0), 0) + IFERROR(vlookup(F515,Data!$A$2:$B$4,2,0), 0)</f>
        <v>0</v>
      </c>
      <c r="H515" s="79"/>
    </row>
    <row r="516">
      <c r="A516" s="92"/>
      <c r="B516" s="79"/>
      <c r="C516" s="79"/>
      <c r="D516" s="43"/>
      <c r="E516" s="87"/>
      <c r="F516" s="87"/>
      <c r="G516" s="76">
        <f>IFERROR(vlookup(E516,Data!$A$2:$B$4,2,0), 0) + IFERROR(vlookup(F516,Data!$A$2:$B$4,2,0), 0)</f>
        <v>0</v>
      </c>
      <c r="H516" s="79"/>
    </row>
    <row r="517">
      <c r="A517" s="92"/>
      <c r="B517" s="79"/>
      <c r="C517" s="79"/>
      <c r="D517" s="43"/>
      <c r="E517" s="87"/>
      <c r="F517" s="87"/>
      <c r="G517" s="76">
        <f>IFERROR(vlookup(E517,Data!$A$2:$B$4,2,0), 0) + IFERROR(vlookup(F517,Data!$A$2:$B$4,2,0), 0)</f>
        <v>0</v>
      </c>
      <c r="H517" s="79"/>
    </row>
    <row r="518">
      <c r="A518" s="92"/>
      <c r="B518" s="79"/>
      <c r="C518" s="79"/>
      <c r="D518" s="43"/>
      <c r="E518" s="87"/>
      <c r="F518" s="87"/>
      <c r="G518" s="76">
        <f>IFERROR(vlookup(E518,Data!$A$2:$B$4,2,0), 0) + IFERROR(vlookup(F518,Data!$A$2:$B$4,2,0), 0)</f>
        <v>0</v>
      </c>
      <c r="H518" s="79"/>
    </row>
    <row r="519">
      <c r="A519" s="92"/>
      <c r="B519" s="79"/>
      <c r="C519" s="79"/>
      <c r="D519" s="43"/>
      <c r="E519" s="87"/>
      <c r="F519" s="87"/>
      <c r="G519" s="76">
        <f>IFERROR(vlookup(E519,Data!$A$2:$B$4,2,0), 0) + IFERROR(vlookup(F519,Data!$A$2:$B$4,2,0), 0)</f>
        <v>0</v>
      </c>
      <c r="H519" s="79"/>
    </row>
    <row r="520">
      <c r="A520" s="92"/>
      <c r="B520" s="79"/>
      <c r="C520" s="79"/>
      <c r="D520" s="43"/>
      <c r="E520" s="87"/>
      <c r="F520" s="87"/>
      <c r="G520" s="76">
        <f>IFERROR(vlookup(E520,Data!$A$2:$B$4,2,0), 0) + IFERROR(vlookup(F520,Data!$A$2:$B$4,2,0), 0)</f>
        <v>0</v>
      </c>
      <c r="H520" s="79"/>
    </row>
    <row r="521">
      <c r="A521" s="92"/>
      <c r="B521" s="79"/>
      <c r="C521" s="79"/>
      <c r="D521" s="43"/>
      <c r="E521" s="87"/>
      <c r="F521" s="87"/>
      <c r="G521" s="76">
        <f>IFERROR(vlookup(E521,Data!$A$2:$B$4,2,0), 0) + IFERROR(vlookup(F521,Data!$A$2:$B$4,2,0), 0)</f>
        <v>0</v>
      </c>
      <c r="H521" s="79"/>
    </row>
    <row r="522">
      <c r="A522" s="92"/>
      <c r="B522" s="79"/>
      <c r="C522" s="79"/>
      <c r="D522" s="43"/>
      <c r="E522" s="87"/>
      <c r="F522" s="87"/>
      <c r="G522" s="76">
        <f>IFERROR(vlookup(E522,Data!$A$2:$B$4,2,0), 0) + IFERROR(vlookup(F522,Data!$A$2:$B$4,2,0), 0)</f>
        <v>0</v>
      </c>
      <c r="H522" s="79"/>
    </row>
    <row r="523">
      <c r="A523" s="92"/>
      <c r="B523" s="79"/>
      <c r="C523" s="79"/>
      <c r="D523" s="43"/>
      <c r="E523" s="87"/>
      <c r="F523" s="87"/>
      <c r="G523" s="76">
        <f>IFERROR(vlookup(E523,Data!$A$2:$B$4,2,0), 0) + IFERROR(vlookup(F523,Data!$A$2:$B$4,2,0), 0)</f>
        <v>0</v>
      </c>
      <c r="H523" s="79"/>
    </row>
    <row r="524">
      <c r="A524" s="92"/>
      <c r="B524" s="79"/>
      <c r="C524" s="79"/>
      <c r="D524" s="43"/>
      <c r="E524" s="87"/>
      <c r="F524" s="87"/>
      <c r="G524" s="76">
        <f>IFERROR(vlookup(E524,Data!$A$2:$B$4,2,0), 0) + IFERROR(vlookup(F524,Data!$A$2:$B$4,2,0), 0)</f>
        <v>0</v>
      </c>
      <c r="H524" s="79"/>
    </row>
    <row r="525">
      <c r="A525" s="92"/>
      <c r="B525" s="79"/>
      <c r="C525" s="79"/>
      <c r="D525" s="43"/>
      <c r="E525" s="87"/>
      <c r="F525" s="87"/>
      <c r="G525" s="76">
        <f>IFERROR(vlookup(E525,Data!$A$2:$B$4,2,0), 0) + IFERROR(vlookup(F525,Data!$A$2:$B$4,2,0), 0)</f>
        <v>0</v>
      </c>
      <c r="H525" s="79"/>
    </row>
    <row r="526">
      <c r="A526" s="92"/>
      <c r="B526" s="79"/>
      <c r="C526" s="79"/>
      <c r="D526" s="43"/>
      <c r="E526" s="87"/>
      <c r="F526" s="87"/>
      <c r="G526" s="76">
        <f>IFERROR(vlookup(E526,Data!$A$2:$B$4,2,0), 0) + IFERROR(vlookup(F526,Data!$A$2:$B$4,2,0), 0)</f>
        <v>0</v>
      </c>
      <c r="H526" s="79"/>
    </row>
    <row r="527">
      <c r="A527" s="92"/>
      <c r="B527" s="79"/>
      <c r="C527" s="79"/>
      <c r="D527" s="43"/>
      <c r="E527" s="87"/>
      <c r="F527" s="87"/>
      <c r="G527" s="76">
        <f>IFERROR(vlookup(E527,Data!$A$2:$B$4,2,0), 0) + IFERROR(vlookup(F527,Data!$A$2:$B$4,2,0), 0)</f>
        <v>0</v>
      </c>
      <c r="H527" s="79"/>
    </row>
    <row r="528">
      <c r="A528" s="92"/>
      <c r="B528" s="79"/>
      <c r="C528" s="79"/>
      <c r="D528" s="43"/>
      <c r="E528" s="87"/>
      <c r="F528" s="87"/>
      <c r="G528" s="76">
        <f>IFERROR(vlookup(E528,Data!$A$2:$B$4,2,0), 0) + IFERROR(vlookup(F528,Data!$A$2:$B$4,2,0), 0)</f>
        <v>0</v>
      </c>
      <c r="H528" s="79"/>
    </row>
    <row r="529">
      <c r="A529" s="92"/>
      <c r="B529" s="79"/>
      <c r="C529" s="79"/>
      <c r="D529" s="43"/>
      <c r="E529" s="87"/>
      <c r="F529" s="87"/>
      <c r="G529" s="76">
        <f>IFERROR(vlookup(E529,Data!$A$2:$B$4,2,0), 0) + IFERROR(vlookup(F529,Data!$A$2:$B$4,2,0), 0)</f>
        <v>0</v>
      </c>
      <c r="H529" s="79"/>
    </row>
    <row r="530">
      <c r="A530" s="92"/>
      <c r="B530" s="79"/>
      <c r="C530" s="79"/>
      <c r="D530" s="43"/>
      <c r="E530" s="87"/>
      <c r="F530" s="87"/>
      <c r="G530" s="76">
        <f>IFERROR(vlookup(E530,Data!$A$2:$B$4,2,0), 0) + IFERROR(vlookup(F530,Data!$A$2:$B$4,2,0), 0)</f>
        <v>0</v>
      </c>
      <c r="H530" s="79"/>
    </row>
    <row r="531">
      <c r="A531" s="92"/>
      <c r="B531" s="79"/>
      <c r="C531" s="79"/>
      <c r="D531" s="43"/>
      <c r="E531" s="87"/>
      <c r="F531" s="87"/>
      <c r="G531" s="76">
        <f>IFERROR(vlookup(E531,Data!$A$2:$B$4,2,0), 0) + IFERROR(vlookup(F531,Data!$A$2:$B$4,2,0), 0)</f>
        <v>0</v>
      </c>
      <c r="H531" s="79"/>
    </row>
    <row r="532">
      <c r="A532" s="92"/>
      <c r="B532" s="79"/>
      <c r="C532" s="79"/>
      <c r="D532" s="43"/>
      <c r="E532" s="87"/>
      <c r="F532" s="87"/>
      <c r="G532" s="76">
        <f>IFERROR(vlookup(E532,Data!$A$2:$B$4,2,0), 0) + IFERROR(vlookup(F532,Data!$A$2:$B$4,2,0), 0)</f>
        <v>0</v>
      </c>
      <c r="H532" s="79"/>
    </row>
    <row r="533">
      <c r="A533" s="92"/>
      <c r="B533" s="79"/>
      <c r="C533" s="79"/>
      <c r="D533" s="43"/>
      <c r="E533" s="87"/>
      <c r="F533" s="87"/>
      <c r="G533" s="76">
        <f>IFERROR(vlookup(E533,Data!$A$2:$B$4,2,0), 0) + IFERROR(vlookup(F533,Data!$A$2:$B$4,2,0), 0)</f>
        <v>0</v>
      </c>
      <c r="H533" s="79"/>
    </row>
    <row r="534">
      <c r="A534" s="92"/>
      <c r="B534" s="79"/>
      <c r="C534" s="79"/>
      <c r="D534" s="43"/>
      <c r="E534" s="87"/>
      <c r="F534" s="87"/>
      <c r="G534" s="76">
        <f>IFERROR(vlookup(E534,Data!$A$2:$B$4,2,0), 0) + IFERROR(vlookup(F534,Data!$A$2:$B$4,2,0), 0)</f>
        <v>0</v>
      </c>
      <c r="H534" s="79"/>
    </row>
    <row r="535">
      <c r="A535" s="92"/>
      <c r="B535" s="79"/>
      <c r="C535" s="79"/>
      <c r="D535" s="43"/>
      <c r="E535" s="87"/>
      <c r="F535" s="87"/>
      <c r="G535" s="76">
        <f>IFERROR(vlookup(E535,Data!$A$2:$B$4,2,0), 0) + IFERROR(vlookup(F535,Data!$A$2:$B$4,2,0), 0)</f>
        <v>0</v>
      </c>
      <c r="H535" s="79"/>
    </row>
    <row r="536">
      <c r="A536" s="92"/>
      <c r="B536" s="79"/>
      <c r="C536" s="79"/>
      <c r="D536" s="43"/>
      <c r="E536" s="87"/>
      <c r="F536" s="87"/>
      <c r="G536" s="76">
        <f>IFERROR(vlookup(E536,Data!$A$2:$B$4,2,0), 0) + IFERROR(vlookup(F536,Data!$A$2:$B$4,2,0), 0)</f>
        <v>0</v>
      </c>
      <c r="H536" s="79"/>
    </row>
    <row r="537">
      <c r="A537" s="92"/>
      <c r="B537" s="79"/>
      <c r="C537" s="79"/>
      <c r="D537" s="43"/>
      <c r="E537" s="87"/>
      <c r="F537" s="87"/>
      <c r="G537" s="76">
        <f>IFERROR(vlookup(E537,Data!$A$2:$B$4,2,0), 0) + IFERROR(vlookup(F537,Data!$A$2:$B$4,2,0), 0)</f>
        <v>0</v>
      </c>
      <c r="H537" s="79"/>
    </row>
    <row r="538">
      <c r="A538" s="92"/>
      <c r="B538" s="79"/>
      <c r="C538" s="79"/>
      <c r="D538" s="43"/>
      <c r="E538" s="87"/>
      <c r="F538" s="87"/>
      <c r="G538" s="76">
        <f>IFERROR(vlookup(E538,Data!$A$2:$B$4,2,0), 0) + IFERROR(vlookup(F538,Data!$A$2:$B$4,2,0), 0)</f>
        <v>0</v>
      </c>
      <c r="H538" s="79"/>
    </row>
    <row r="539">
      <c r="A539" s="92"/>
      <c r="B539" s="79"/>
      <c r="C539" s="79"/>
      <c r="D539" s="43"/>
      <c r="E539" s="87"/>
      <c r="F539" s="87"/>
      <c r="G539" s="76">
        <f>IFERROR(vlookup(E539,Data!$A$2:$B$4,2,0), 0) + IFERROR(vlookup(F539,Data!$A$2:$B$4,2,0), 0)</f>
        <v>0</v>
      </c>
      <c r="H539" s="79"/>
    </row>
    <row r="540">
      <c r="A540" s="92"/>
      <c r="B540" s="79"/>
      <c r="C540" s="79"/>
      <c r="D540" s="43"/>
      <c r="E540" s="87"/>
      <c r="F540" s="87"/>
      <c r="G540" s="76">
        <f>IFERROR(vlookup(E540,Data!$A$2:$B$4,2,0), 0) + IFERROR(vlookup(F540,Data!$A$2:$B$4,2,0), 0)</f>
        <v>0</v>
      </c>
      <c r="H540" s="79"/>
    </row>
    <row r="541">
      <c r="A541" s="92"/>
      <c r="B541" s="79"/>
      <c r="C541" s="79"/>
      <c r="D541" s="43"/>
      <c r="E541" s="87"/>
      <c r="F541" s="87"/>
      <c r="G541" s="76">
        <f>IFERROR(vlookup(E541,Data!$A$2:$B$4,2,0), 0) + IFERROR(vlookup(F541,Data!$A$2:$B$4,2,0), 0)</f>
        <v>0</v>
      </c>
      <c r="H541" s="79"/>
    </row>
    <row r="542">
      <c r="A542" s="92"/>
      <c r="B542" s="79"/>
      <c r="C542" s="79"/>
      <c r="D542" s="43"/>
      <c r="E542" s="87"/>
      <c r="F542" s="87"/>
      <c r="G542" s="76">
        <f>IFERROR(vlookup(E542,Data!$A$2:$B$4,2,0), 0) + IFERROR(vlookup(F542,Data!$A$2:$B$4,2,0), 0)</f>
        <v>0</v>
      </c>
      <c r="H542" s="79"/>
    </row>
    <row r="543">
      <c r="A543" s="92"/>
      <c r="B543" s="79"/>
      <c r="C543" s="79"/>
      <c r="D543" s="43"/>
      <c r="E543" s="87"/>
      <c r="F543" s="87"/>
      <c r="G543" s="76">
        <f>IFERROR(vlookup(E543,Data!$A$2:$B$4,2,0), 0) + IFERROR(vlookup(F543,Data!$A$2:$B$4,2,0), 0)</f>
        <v>0</v>
      </c>
      <c r="H543" s="79"/>
    </row>
    <row r="544">
      <c r="A544" s="92"/>
      <c r="B544" s="79"/>
      <c r="C544" s="79"/>
      <c r="D544" s="43"/>
      <c r="E544" s="87"/>
      <c r="F544" s="87"/>
      <c r="G544" s="76">
        <f>IFERROR(vlookup(E544,Data!$A$2:$B$4,2,0), 0) + IFERROR(vlookup(F544,Data!$A$2:$B$4,2,0), 0)</f>
        <v>0</v>
      </c>
      <c r="H544" s="79"/>
    </row>
    <row r="545">
      <c r="A545" s="92"/>
      <c r="B545" s="79"/>
      <c r="C545" s="79"/>
      <c r="D545" s="43"/>
      <c r="E545" s="87"/>
      <c r="F545" s="87"/>
      <c r="G545" s="76">
        <f>IFERROR(vlookup(E545,Data!$A$2:$B$4,2,0), 0) + IFERROR(vlookup(F545,Data!$A$2:$B$4,2,0), 0)</f>
        <v>0</v>
      </c>
      <c r="H545" s="79"/>
    </row>
    <row r="546">
      <c r="A546" s="92"/>
      <c r="B546" s="79"/>
      <c r="C546" s="79"/>
      <c r="D546" s="43"/>
      <c r="E546" s="87"/>
      <c r="F546" s="87"/>
      <c r="G546" s="76">
        <f>IFERROR(vlookup(E546,Data!$A$2:$B$4,2,0), 0) + IFERROR(vlookup(F546,Data!$A$2:$B$4,2,0), 0)</f>
        <v>0</v>
      </c>
      <c r="H546" s="79"/>
    </row>
    <row r="547">
      <c r="A547" s="92"/>
      <c r="B547" s="79"/>
      <c r="C547" s="79"/>
      <c r="D547" s="43"/>
      <c r="E547" s="87"/>
      <c r="F547" s="87"/>
      <c r="G547" s="76">
        <f>IFERROR(vlookup(E547,Data!$A$2:$B$4,2,0), 0) + IFERROR(vlookup(F547,Data!$A$2:$B$4,2,0), 0)</f>
        <v>0</v>
      </c>
      <c r="H547" s="79"/>
    </row>
    <row r="548">
      <c r="A548" s="92"/>
      <c r="B548" s="79"/>
      <c r="C548" s="79"/>
      <c r="D548" s="43"/>
      <c r="E548" s="87"/>
      <c r="F548" s="87"/>
      <c r="G548" s="76">
        <f>IFERROR(vlookup(E548,Data!$A$2:$B$4,2,0), 0) + IFERROR(vlookup(F548,Data!$A$2:$B$4,2,0), 0)</f>
        <v>0</v>
      </c>
      <c r="H548" s="79"/>
    </row>
    <row r="549">
      <c r="A549" s="92"/>
      <c r="B549" s="79"/>
      <c r="C549" s="79"/>
      <c r="D549" s="43"/>
      <c r="E549" s="87"/>
      <c r="F549" s="87"/>
      <c r="G549" s="76">
        <f>IFERROR(vlookup(E549,Data!$A$2:$B$4,2,0), 0) + IFERROR(vlookup(F549,Data!$A$2:$B$4,2,0), 0)</f>
        <v>0</v>
      </c>
      <c r="H549" s="79"/>
    </row>
    <row r="550">
      <c r="A550" s="92"/>
      <c r="B550" s="79"/>
      <c r="C550" s="79"/>
      <c r="D550" s="43"/>
      <c r="E550" s="87"/>
      <c r="F550" s="87"/>
      <c r="G550" s="76">
        <f>IFERROR(vlookup(E550,Data!$A$2:$B$4,2,0), 0) + IFERROR(vlookup(F550,Data!$A$2:$B$4,2,0), 0)</f>
        <v>0</v>
      </c>
      <c r="H550" s="79"/>
    </row>
    <row r="551">
      <c r="A551" s="92"/>
      <c r="B551" s="79"/>
      <c r="C551" s="79"/>
      <c r="D551" s="43"/>
      <c r="E551" s="87"/>
      <c r="F551" s="87"/>
      <c r="G551" s="76">
        <f>IFERROR(vlookup(E551,Data!$A$2:$B$4,2,0), 0) + IFERROR(vlookup(F551,Data!$A$2:$B$4,2,0), 0)</f>
        <v>0</v>
      </c>
      <c r="H551" s="79"/>
    </row>
    <row r="552">
      <c r="A552" s="92"/>
      <c r="B552" s="79"/>
      <c r="C552" s="79"/>
      <c r="D552" s="43"/>
      <c r="E552" s="87"/>
      <c r="F552" s="87"/>
      <c r="G552" s="76">
        <f>IFERROR(vlookup(E552,Data!$A$2:$B$4,2,0), 0) + IFERROR(vlookup(F552,Data!$A$2:$B$4,2,0), 0)</f>
        <v>0</v>
      </c>
      <c r="H552" s="79"/>
    </row>
    <row r="553">
      <c r="A553" s="92"/>
      <c r="B553" s="79"/>
      <c r="C553" s="79"/>
      <c r="D553" s="43"/>
      <c r="E553" s="87"/>
      <c r="F553" s="87"/>
      <c r="G553" s="76">
        <f>IFERROR(vlookup(E553,Data!$A$2:$B$4,2,0), 0) + IFERROR(vlookup(F553,Data!$A$2:$B$4,2,0), 0)</f>
        <v>0</v>
      </c>
      <c r="H553" s="79"/>
    </row>
    <row r="554">
      <c r="A554" s="92"/>
      <c r="B554" s="79"/>
      <c r="C554" s="79"/>
      <c r="D554" s="43"/>
      <c r="E554" s="87"/>
      <c r="F554" s="87"/>
      <c r="G554" s="76">
        <f>IFERROR(vlookup(E554,Data!$A$2:$B$4,2,0), 0) + IFERROR(vlookup(F554,Data!$A$2:$B$4,2,0), 0)</f>
        <v>0</v>
      </c>
      <c r="H554" s="79"/>
    </row>
    <row r="555">
      <c r="A555" s="92"/>
      <c r="B555" s="79"/>
      <c r="C555" s="79"/>
      <c r="D555" s="43"/>
      <c r="E555" s="87"/>
      <c r="F555" s="87"/>
      <c r="G555" s="76">
        <f>IFERROR(vlookup(E555,Data!$A$2:$B$4,2,0), 0) + IFERROR(vlookup(F555,Data!$A$2:$B$4,2,0), 0)</f>
        <v>0</v>
      </c>
      <c r="H555" s="79"/>
    </row>
    <row r="556">
      <c r="A556" s="92"/>
      <c r="B556" s="79"/>
      <c r="C556" s="79"/>
      <c r="D556" s="43"/>
      <c r="E556" s="87"/>
      <c r="F556" s="87"/>
      <c r="G556" s="76">
        <f>IFERROR(vlookup(E556,Data!$A$2:$B$4,2,0), 0) + IFERROR(vlookup(F556,Data!$A$2:$B$4,2,0), 0)</f>
        <v>0</v>
      </c>
      <c r="H556" s="79"/>
    </row>
    <row r="557">
      <c r="A557" s="92"/>
      <c r="B557" s="79"/>
      <c r="C557" s="79"/>
      <c r="D557" s="43"/>
      <c r="E557" s="87"/>
      <c r="F557" s="87"/>
      <c r="G557" s="76">
        <f>IFERROR(vlookup(E557,Data!$A$2:$B$4,2,0), 0) + IFERROR(vlookup(F557,Data!$A$2:$B$4,2,0), 0)</f>
        <v>0</v>
      </c>
      <c r="H557" s="79"/>
    </row>
    <row r="558">
      <c r="A558" s="92"/>
      <c r="B558" s="79"/>
      <c r="C558" s="79"/>
      <c r="D558" s="43"/>
      <c r="E558" s="87"/>
      <c r="F558" s="87"/>
      <c r="G558" s="76">
        <f>IFERROR(vlookup(E558,Data!$A$2:$B$4,2,0), 0) + IFERROR(vlookup(F558,Data!$A$2:$B$4,2,0), 0)</f>
        <v>0</v>
      </c>
      <c r="H558" s="79"/>
    </row>
    <row r="559">
      <c r="A559" s="92"/>
      <c r="B559" s="79"/>
      <c r="C559" s="79"/>
      <c r="D559" s="43"/>
      <c r="E559" s="87"/>
      <c r="F559" s="87"/>
      <c r="G559" s="76">
        <f>IFERROR(vlookup(E559,Data!$A$2:$B$4,2,0), 0) + IFERROR(vlookup(F559,Data!$A$2:$B$4,2,0), 0)</f>
        <v>0</v>
      </c>
      <c r="H559" s="79"/>
    </row>
    <row r="560">
      <c r="A560" s="92"/>
      <c r="B560" s="79"/>
      <c r="C560" s="79"/>
      <c r="D560" s="43"/>
      <c r="E560" s="87"/>
      <c r="F560" s="87"/>
      <c r="G560" s="76">
        <f>IFERROR(vlookup(E560,Data!$A$2:$B$4,2,0), 0) + IFERROR(vlookup(F560,Data!$A$2:$B$4,2,0), 0)</f>
        <v>0</v>
      </c>
      <c r="H560" s="79"/>
    </row>
    <row r="561">
      <c r="A561" s="92"/>
      <c r="B561" s="79"/>
      <c r="C561" s="79"/>
      <c r="D561" s="43"/>
      <c r="E561" s="87"/>
      <c r="F561" s="87"/>
      <c r="G561" s="76">
        <f>IFERROR(vlookup(E561,Data!$A$2:$B$4,2,0), 0) + IFERROR(vlookup(F561,Data!$A$2:$B$4,2,0), 0)</f>
        <v>0</v>
      </c>
      <c r="H561" s="79"/>
    </row>
    <row r="562">
      <c r="A562" s="92"/>
      <c r="B562" s="79"/>
      <c r="C562" s="79"/>
      <c r="D562" s="43"/>
      <c r="E562" s="87"/>
      <c r="F562" s="87"/>
      <c r="G562" s="76">
        <f>IFERROR(vlookup(E562,Data!$A$2:$B$4,2,0), 0) + IFERROR(vlookup(F562,Data!$A$2:$B$4,2,0), 0)</f>
        <v>0</v>
      </c>
      <c r="H562" s="79"/>
    </row>
    <row r="563">
      <c r="A563" s="92"/>
      <c r="B563" s="79"/>
      <c r="C563" s="79"/>
      <c r="D563" s="43"/>
      <c r="E563" s="87"/>
      <c r="F563" s="87"/>
      <c r="G563" s="76">
        <f>IFERROR(vlookup(E563,Data!$A$2:$B$4,2,0), 0) + IFERROR(vlookup(F563,Data!$A$2:$B$4,2,0), 0)</f>
        <v>0</v>
      </c>
      <c r="H563" s="79"/>
    </row>
    <row r="564">
      <c r="A564" s="92"/>
      <c r="B564" s="79"/>
      <c r="C564" s="79"/>
      <c r="D564" s="43"/>
      <c r="E564" s="87"/>
      <c r="F564" s="87"/>
      <c r="G564" s="76">
        <f>IFERROR(vlookup(E564,Data!$A$2:$B$4,2,0), 0) + IFERROR(vlookup(F564,Data!$A$2:$B$4,2,0), 0)</f>
        <v>0</v>
      </c>
      <c r="H564" s="79"/>
    </row>
    <row r="565">
      <c r="A565" s="92"/>
      <c r="B565" s="79"/>
      <c r="C565" s="79"/>
      <c r="D565" s="43"/>
      <c r="E565" s="87"/>
      <c r="F565" s="87"/>
      <c r="G565" s="76">
        <f>IFERROR(vlookup(E565,Data!$A$2:$B$4,2,0), 0) + IFERROR(vlookup(F565,Data!$A$2:$B$4,2,0), 0)</f>
        <v>0</v>
      </c>
      <c r="H565" s="79"/>
    </row>
    <row r="566">
      <c r="A566" s="92"/>
      <c r="B566" s="79"/>
      <c r="C566" s="79"/>
      <c r="D566" s="43"/>
      <c r="E566" s="87"/>
      <c r="F566" s="87"/>
      <c r="G566" s="76">
        <f>IFERROR(vlookup(E566,Data!$A$2:$B$4,2,0), 0) + IFERROR(vlookup(F566,Data!$A$2:$B$4,2,0), 0)</f>
        <v>0</v>
      </c>
      <c r="H566" s="79"/>
    </row>
    <row r="567">
      <c r="A567" s="92"/>
      <c r="B567" s="79"/>
      <c r="C567" s="79"/>
      <c r="D567" s="43"/>
      <c r="E567" s="87"/>
      <c r="F567" s="87"/>
      <c r="G567" s="76">
        <f>IFERROR(vlookup(E567,Data!$A$2:$B$4,2,0), 0) + IFERROR(vlookup(F567,Data!$A$2:$B$4,2,0), 0)</f>
        <v>0</v>
      </c>
      <c r="H567" s="79"/>
    </row>
    <row r="568">
      <c r="A568" s="92"/>
      <c r="B568" s="79"/>
      <c r="C568" s="79"/>
      <c r="D568" s="43"/>
      <c r="E568" s="87"/>
      <c r="F568" s="87"/>
      <c r="G568" s="76">
        <f>IFERROR(vlookup(E568,Data!$A$2:$B$4,2,0), 0) + IFERROR(vlookup(F568,Data!$A$2:$B$4,2,0), 0)</f>
        <v>0</v>
      </c>
      <c r="H568" s="79"/>
    </row>
    <row r="569">
      <c r="A569" s="92"/>
      <c r="B569" s="79"/>
      <c r="C569" s="79"/>
      <c r="D569" s="43"/>
      <c r="E569" s="87"/>
      <c r="F569" s="87"/>
      <c r="G569" s="76">
        <f>IFERROR(vlookup(E569,Data!$A$2:$B$4,2,0), 0) + IFERROR(vlookup(F569,Data!$A$2:$B$4,2,0), 0)</f>
        <v>0</v>
      </c>
      <c r="H569" s="79"/>
    </row>
    <row r="570">
      <c r="A570" s="92"/>
      <c r="B570" s="79"/>
      <c r="C570" s="79"/>
      <c r="D570" s="43"/>
      <c r="E570" s="87"/>
      <c r="F570" s="87"/>
      <c r="G570" s="76">
        <f>IFERROR(vlookup(E570,Data!$A$2:$B$4,2,0), 0) + IFERROR(vlookup(F570,Data!$A$2:$B$4,2,0), 0)</f>
        <v>0</v>
      </c>
      <c r="H570" s="79"/>
    </row>
    <row r="571">
      <c r="A571" s="92"/>
      <c r="B571" s="79"/>
      <c r="C571" s="79"/>
      <c r="D571" s="43"/>
      <c r="E571" s="87"/>
      <c r="F571" s="87"/>
      <c r="G571" s="76">
        <f>IFERROR(vlookup(E571,Data!$A$2:$B$4,2,0), 0) + IFERROR(vlookup(F571,Data!$A$2:$B$4,2,0), 0)</f>
        <v>0</v>
      </c>
      <c r="H571" s="79"/>
    </row>
    <row r="572">
      <c r="A572" s="92"/>
      <c r="B572" s="79"/>
      <c r="C572" s="79"/>
      <c r="D572" s="43"/>
      <c r="E572" s="87"/>
      <c r="F572" s="87"/>
      <c r="G572" s="76">
        <f>IFERROR(vlookup(E572,Data!$A$2:$B$4,2,0), 0) + IFERROR(vlookup(F572,Data!$A$2:$B$4,2,0), 0)</f>
        <v>0</v>
      </c>
      <c r="H572" s="79"/>
    </row>
    <row r="573">
      <c r="A573" s="92"/>
      <c r="B573" s="79"/>
      <c r="C573" s="79"/>
      <c r="D573" s="43"/>
      <c r="E573" s="87"/>
      <c r="F573" s="87"/>
      <c r="G573" s="76">
        <f>IFERROR(vlookup(E573,Data!$A$2:$B$4,2,0), 0) + IFERROR(vlookup(F573,Data!$A$2:$B$4,2,0), 0)</f>
        <v>0</v>
      </c>
      <c r="H573" s="79"/>
    </row>
    <row r="574">
      <c r="A574" s="92"/>
      <c r="B574" s="79"/>
      <c r="C574" s="79"/>
      <c r="D574" s="43"/>
      <c r="E574" s="87"/>
      <c r="F574" s="87"/>
      <c r="G574" s="76">
        <f>IFERROR(vlookup(E574,Data!$A$2:$B$4,2,0), 0) + IFERROR(vlookup(F574,Data!$A$2:$B$4,2,0), 0)</f>
        <v>0</v>
      </c>
      <c r="H574" s="79"/>
    </row>
    <row r="575">
      <c r="A575" s="92"/>
      <c r="B575" s="79"/>
      <c r="C575" s="79"/>
      <c r="D575" s="43"/>
      <c r="E575" s="87"/>
      <c r="F575" s="87"/>
      <c r="G575" s="76">
        <f>IFERROR(vlookup(E575,Data!$A$2:$B$4,2,0), 0) + IFERROR(vlookup(F575,Data!$A$2:$B$4,2,0), 0)</f>
        <v>0</v>
      </c>
      <c r="H575" s="79"/>
    </row>
    <row r="576">
      <c r="A576" s="92"/>
      <c r="B576" s="79"/>
      <c r="C576" s="79"/>
      <c r="D576" s="43"/>
      <c r="E576" s="87"/>
      <c r="F576" s="87"/>
      <c r="G576" s="76">
        <f>IFERROR(vlookup(E576,Data!$A$2:$B$4,2,0), 0) + IFERROR(vlookup(F576,Data!$A$2:$B$4,2,0), 0)</f>
        <v>0</v>
      </c>
      <c r="H576" s="79"/>
    </row>
    <row r="577">
      <c r="A577" s="92"/>
      <c r="B577" s="79"/>
      <c r="C577" s="79"/>
      <c r="D577" s="43"/>
      <c r="E577" s="87"/>
      <c r="F577" s="87"/>
      <c r="G577" s="76">
        <f>IFERROR(vlookup(E577,Data!$A$2:$B$4,2,0), 0) + IFERROR(vlookup(F577,Data!$A$2:$B$4,2,0), 0)</f>
        <v>0</v>
      </c>
      <c r="H577" s="79"/>
    </row>
    <row r="578">
      <c r="A578" s="92"/>
      <c r="B578" s="79"/>
      <c r="C578" s="79"/>
      <c r="D578" s="43"/>
      <c r="E578" s="87"/>
      <c r="F578" s="87"/>
      <c r="G578" s="76">
        <f>IFERROR(vlookup(E578,Data!$A$2:$B$4,2,0), 0) + IFERROR(vlookup(F578,Data!$A$2:$B$4,2,0), 0)</f>
        <v>0</v>
      </c>
      <c r="H578" s="79"/>
    </row>
    <row r="579">
      <c r="A579" s="92"/>
      <c r="B579" s="79"/>
      <c r="C579" s="79"/>
      <c r="D579" s="43"/>
      <c r="E579" s="87"/>
      <c r="F579" s="87"/>
      <c r="G579" s="76">
        <f>IFERROR(vlookup(E579,Data!$A$2:$B$4,2,0), 0) + IFERROR(vlookup(F579,Data!$A$2:$B$4,2,0), 0)</f>
        <v>0</v>
      </c>
      <c r="H579" s="79"/>
    </row>
    <row r="580">
      <c r="A580" s="92"/>
      <c r="B580" s="79"/>
      <c r="C580" s="79"/>
      <c r="D580" s="43"/>
      <c r="E580" s="87"/>
      <c r="F580" s="87"/>
      <c r="G580" s="76">
        <f>IFERROR(vlookup(E580,Data!$A$2:$B$4,2,0), 0) + IFERROR(vlookup(F580,Data!$A$2:$B$4,2,0), 0)</f>
        <v>0</v>
      </c>
      <c r="H580" s="79"/>
    </row>
    <row r="581">
      <c r="A581" s="92"/>
      <c r="B581" s="79"/>
      <c r="C581" s="79"/>
      <c r="D581" s="43"/>
      <c r="E581" s="87"/>
      <c r="F581" s="87"/>
      <c r="G581" s="76">
        <f>IFERROR(vlookup(E581,Data!$A$2:$B$4,2,0), 0) + IFERROR(vlookup(F581,Data!$A$2:$B$4,2,0), 0)</f>
        <v>0</v>
      </c>
      <c r="H581" s="79"/>
    </row>
    <row r="582">
      <c r="A582" s="92"/>
      <c r="B582" s="79"/>
      <c r="C582" s="79"/>
      <c r="D582" s="43"/>
      <c r="E582" s="87"/>
      <c r="F582" s="87"/>
      <c r="G582" s="76">
        <f>IFERROR(vlookup(E582,Data!$A$2:$B$4,2,0), 0) + IFERROR(vlookup(F582,Data!$A$2:$B$4,2,0), 0)</f>
        <v>0</v>
      </c>
      <c r="H582" s="79"/>
    </row>
    <row r="583">
      <c r="A583" s="92"/>
      <c r="B583" s="79"/>
      <c r="C583" s="79"/>
      <c r="D583" s="43"/>
      <c r="E583" s="87"/>
      <c r="F583" s="87"/>
      <c r="G583" s="76">
        <f>IFERROR(vlookup(E583,Data!$A$2:$B$4,2,0), 0) + IFERROR(vlookup(F583,Data!$A$2:$B$4,2,0), 0)</f>
        <v>0</v>
      </c>
      <c r="H583" s="79"/>
    </row>
    <row r="584">
      <c r="A584" s="92"/>
      <c r="B584" s="79"/>
      <c r="C584" s="79"/>
      <c r="D584" s="43"/>
      <c r="E584" s="87"/>
      <c r="F584" s="87"/>
      <c r="G584" s="76">
        <f>IFERROR(vlookup(E584,Data!$A$2:$B$4,2,0), 0) + IFERROR(vlookup(F584,Data!$A$2:$B$4,2,0), 0)</f>
        <v>0</v>
      </c>
      <c r="H584" s="79"/>
    </row>
    <row r="585">
      <c r="A585" s="92"/>
      <c r="B585" s="79"/>
      <c r="C585" s="79"/>
      <c r="D585" s="43"/>
      <c r="E585" s="87"/>
      <c r="F585" s="87"/>
      <c r="G585" s="76">
        <f>IFERROR(vlookup(E585,Data!$A$2:$B$4,2,0), 0) + IFERROR(vlookup(F585,Data!$A$2:$B$4,2,0), 0)</f>
        <v>0</v>
      </c>
      <c r="H585" s="79"/>
    </row>
    <row r="586">
      <c r="A586" s="92"/>
      <c r="B586" s="79"/>
      <c r="C586" s="79"/>
      <c r="D586" s="43"/>
      <c r="E586" s="87"/>
      <c r="F586" s="87"/>
      <c r="G586" s="76">
        <f>IFERROR(vlookup(E586,Data!$A$2:$B$4,2,0), 0) + IFERROR(vlookup(F586,Data!$A$2:$B$4,2,0), 0)</f>
        <v>0</v>
      </c>
      <c r="H586" s="79"/>
    </row>
    <row r="587">
      <c r="A587" s="92"/>
      <c r="B587" s="79"/>
      <c r="C587" s="79"/>
      <c r="D587" s="43"/>
      <c r="E587" s="87"/>
      <c r="F587" s="87"/>
      <c r="G587" s="76">
        <f>IFERROR(vlookup(E587,Data!$A$2:$B$4,2,0), 0) + IFERROR(vlookup(F587,Data!$A$2:$B$4,2,0), 0)</f>
        <v>0</v>
      </c>
      <c r="H587" s="79"/>
    </row>
    <row r="588">
      <c r="A588" s="92"/>
      <c r="B588" s="79"/>
      <c r="C588" s="79"/>
      <c r="D588" s="43"/>
      <c r="E588" s="87"/>
      <c r="F588" s="87"/>
      <c r="G588" s="76">
        <f>IFERROR(vlookup(E588,Data!$A$2:$B$4,2,0), 0) + IFERROR(vlookup(F588,Data!$A$2:$B$4,2,0), 0)</f>
        <v>0</v>
      </c>
      <c r="H588" s="79"/>
    </row>
    <row r="589">
      <c r="A589" s="92"/>
      <c r="B589" s="79"/>
      <c r="C589" s="79"/>
      <c r="D589" s="43"/>
      <c r="E589" s="87"/>
      <c r="F589" s="87"/>
      <c r="G589" s="76">
        <f>IFERROR(vlookup(E589,Data!$A$2:$B$4,2,0), 0) + IFERROR(vlookup(F589,Data!$A$2:$B$4,2,0), 0)</f>
        <v>0</v>
      </c>
      <c r="H589" s="79"/>
    </row>
    <row r="590">
      <c r="A590" s="92"/>
      <c r="B590" s="79"/>
      <c r="C590" s="79"/>
      <c r="D590" s="43"/>
      <c r="E590" s="87"/>
      <c r="F590" s="87"/>
      <c r="G590" s="76">
        <f>IFERROR(vlookup(E590,Data!$A$2:$B$4,2,0), 0) + IFERROR(vlookup(F590,Data!$A$2:$B$4,2,0), 0)</f>
        <v>0</v>
      </c>
      <c r="H590" s="79"/>
    </row>
    <row r="591">
      <c r="A591" s="92"/>
      <c r="B591" s="79"/>
      <c r="C591" s="79"/>
      <c r="D591" s="43"/>
      <c r="E591" s="87"/>
      <c r="F591" s="87"/>
      <c r="G591" s="76">
        <f>IFERROR(vlookup(E591,Data!$A$2:$B$4,2,0), 0) + IFERROR(vlookup(F591,Data!$A$2:$B$4,2,0), 0)</f>
        <v>0</v>
      </c>
      <c r="H591" s="79"/>
    </row>
    <row r="592">
      <c r="A592" s="92"/>
      <c r="B592" s="79"/>
      <c r="C592" s="79"/>
      <c r="D592" s="43"/>
      <c r="E592" s="87"/>
      <c r="F592" s="87"/>
      <c r="G592" s="76">
        <f>IFERROR(vlookup(E592,Data!$A$2:$B$4,2,0), 0) + IFERROR(vlookup(F592,Data!$A$2:$B$4,2,0), 0)</f>
        <v>0</v>
      </c>
      <c r="H592" s="79"/>
    </row>
    <row r="593">
      <c r="A593" s="92"/>
      <c r="B593" s="79"/>
      <c r="C593" s="79"/>
      <c r="D593" s="43"/>
      <c r="E593" s="87"/>
      <c r="F593" s="87"/>
      <c r="G593" s="76">
        <f>IFERROR(vlookup(E593,Data!$A$2:$B$4,2,0), 0) + IFERROR(vlookup(F593,Data!$A$2:$B$4,2,0), 0)</f>
        <v>0</v>
      </c>
      <c r="H593" s="79"/>
    </row>
    <row r="594">
      <c r="A594" s="92"/>
      <c r="B594" s="79"/>
      <c r="C594" s="79"/>
      <c r="D594" s="43"/>
      <c r="E594" s="87"/>
      <c r="F594" s="87"/>
      <c r="G594" s="76">
        <f>IFERROR(vlookup(E594,Data!$A$2:$B$4,2,0), 0) + IFERROR(vlookup(F594,Data!$A$2:$B$4,2,0), 0)</f>
        <v>0</v>
      </c>
      <c r="H594" s="79"/>
    </row>
    <row r="595">
      <c r="A595" s="92"/>
      <c r="B595" s="79"/>
      <c r="C595" s="79"/>
      <c r="D595" s="43"/>
      <c r="E595" s="87"/>
      <c r="F595" s="87"/>
      <c r="G595" s="76">
        <f>IFERROR(vlookup(E595,Data!$A$2:$B$4,2,0), 0) + IFERROR(vlookup(F595,Data!$A$2:$B$4,2,0), 0)</f>
        <v>0</v>
      </c>
      <c r="H595" s="79"/>
    </row>
    <row r="596">
      <c r="A596" s="92"/>
      <c r="B596" s="79"/>
      <c r="C596" s="79"/>
      <c r="D596" s="43"/>
      <c r="E596" s="87"/>
      <c r="F596" s="87"/>
      <c r="G596" s="76">
        <f>IFERROR(vlookup(E596,Data!$A$2:$B$4,2,0), 0) + IFERROR(vlookup(F596,Data!$A$2:$B$4,2,0), 0)</f>
        <v>0</v>
      </c>
      <c r="H596" s="79"/>
    </row>
    <row r="597">
      <c r="A597" s="92"/>
      <c r="B597" s="79"/>
      <c r="C597" s="79"/>
      <c r="D597" s="43"/>
      <c r="E597" s="87"/>
      <c r="F597" s="87"/>
      <c r="G597" s="76">
        <f>IFERROR(vlookup(E597,Data!$A$2:$B$4,2,0), 0) + IFERROR(vlookup(F597,Data!$A$2:$B$4,2,0), 0)</f>
        <v>0</v>
      </c>
      <c r="H597" s="79"/>
    </row>
    <row r="598">
      <c r="A598" s="92"/>
      <c r="B598" s="79"/>
      <c r="C598" s="79"/>
      <c r="D598" s="43"/>
      <c r="E598" s="87"/>
      <c r="F598" s="87"/>
      <c r="G598" s="76">
        <f>IFERROR(vlookup(E598,Data!$A$2:$B$4,2,0), 0) + IFERROR(vlookup(F598,Data!$A$2:$B$4,2,0), 0)</f>
        <v>0</v>
      </c>
      <c r="H598" s="79"/>
    </row>
    <row r="599">
      <c r="A599" s="92"/>
      <c r="B599" s="79"/>
      <c r="C599" s="79"/>
      <c r="D599" s="43"/>
      <c r="E599" s="87"/>
      <c r="F599" s="87"/>
      <c r="G599" s="76">
        <f>IFERROR(vlookup(E599,Data!$A$2:$B$4,2,0), 0) + IFERROR(vlookup(F599,Data!$A$2:$B$4,2,0), 0)</f>
        <v>0</v>
      </c>
      <c r="H599" s="79"/>
    </row>
    <row r="600">
      <c r="A600" s="92"/>
      <c r="B600" s="79"/>
      <c r="C600" s="79"/>
      <c r="D600" s="43"/>
      <c r="E600" s="87"/>
      <c r="F600" s="87"/>
      <c r="G600" s="76">
        <f>IFERROR(vlookup(E600,Data!$A$2:$B$4,2,0), 0) + IFERROR(vlookup(F600,Data!$A$2:$B$4,2,0), 0)</f>
        <v>0</v>
      </c>
      <c r="H600" s="79"/>
    </row>
    <row r="601">
      <c r="A601" s="92"/>
      <c r="B601" s="79"/>
      <c r="C601" s="79"/>
      <c r="D601" s="43"/>
      <c r="E601" s="87"/>
      <c r="F601" s="87"/>
      <c r="G601" s="76">
        <f>IFERROR(vlookup(E601,Data!$A$2:$B$4,2,0), 0) + IFERROR(vlookup(F601,Data!$A$2:$B$4,2,0), 0)</f>
        <v>0</v>
      </c>
      <c r="H601" s="79"/>
    </row>
    <row r="602">
      <c r="A602" s="92"/>
      <c r="B602" s="79"/>
      <c r="C602" s="79"/>
      <c r="D602" s="43"/>
      <c r="E602" s="87"/>
      <c r="F602" s="87"/>
      <c r="G602" s="76">
        <f>IFERROR(vlookup(E602,Data!$A$2:$B$4,2,0), 0) + IFERROR(vlookup(F602,Data!$A$2:$B$4,2,0), 0)</f>
        <v>0</v>
      </c>
      <c r="H602" s="79"/>
    </row>
    <row r="603">
      <c r="A603" s="92"/>
      <c r="B603" s="79"/>
      <c r="C603" s="79"/>
      <c r="D603" s="43"/>
      <c r="E603" s="87"/>
      <c r="F603" s="87"/>
      <c r="G603" s="76">
        <f>IFERROR(vlookup(E603,Data!$A$2:$B$4,2,0), 0) + IFERROR(vlookup(F603,Data!$A$2:$B$4,2,0), 0)</f>
        <v>0</v>
      </c>
      <c r="H603" s="79"/>
    </row>
    <row r="604">
      <c r="A604" s="92"/>
      <c r="B604" s="79"/>
      <c r="C604" s="79"/>
      <c r="D604" s="43"/>
      <c r="E604" s="87"/>
      <c r="F604" s="87"/>
      <c r="G604" s="76">
        <f>IFERROR(vlookup(E604,Data!$A$2:$B$4,2,0), 0) + IFERROR(vlookup(F604,Data!$A$2:$B$4,2,0), 0)</f>
        <v>0</v>
      </c>
      <c r="H604" s="79"/>
    </row>
    <row r="605">
      <c r="A605" s="92"/>
      <c r="B605" s="79"/>
      <c r="C605" s="79"/>
      <c r="D605" s="43"/>
      <c r="E605" s="87"/>
      <c r="F605" s="87"/>
      <c r="G605" s="76">
        <f>IFERROR(vlookup(E605,Data!$A$2:$B$4,2,0), 0) + IFERROR(vlookup(F605,Data!$A$2:$B$4,2,0), 0)</f>
        <v>0</v>
      </c>
      <c r="H605" s="79"/>
    </row>
    <row r="606">
      <c r="A606" s="92"/>
      <c r="B606" s="79"/>
      <c r="C606" s="79"/>
      <c r="D606" s="43"/>
      <c r="E606" s="87"/>
      <c r="F606" s="87"/>
      <c r="G606" s="76">
        <f>IFERROR(vlookup(E606,Data!$A$2:$B$4,2,0), 0) + IFERROR(vlookup(F606,Data!$A$2:$B$4,2,0), 0)</f>
        <v>0</v>
      </c>
      <c r="H606" s="79"/>
    </row>
    <row r="607">
      <c r="A607" s="92"/>
      <c r="B607" s="79"/>
      <c r="C607" s="79"/>
      <c r="D607" s="43"/>
      <c r="E607" s="87"/>
      <c r="F607" s="87"/>
      <c r="G607" s="76">
        <f>IFERROR(vlookup(E607,Data!$A$2:$B$4,2,0), 0) + IFERROR(vlookup(F607,Data!$A$2:$B$4,2,0), 0)</f>
        <v>0</v>
      </c>
      <c r="H607" s="79"/>
    </row>
    <row r="608">
      <c r="A608" s="92"/>
      <c r="B608" s="79"/>
      <c r="C608" s="79"/>
      <c r="D608" s="43"/>
      <c r="E608" s="87"/>
      <c r="F608" s="87"/>
      <c r="G608" s="76">
        <f>IFERROR(vlookup(E608,Data!$A$2:$B$4,2,0), 0) + IFERROR(vlookup(F608,Data!$A$2:$B$4,2,0), 0)</f>
        <v>0</v>
      </c>
      <c r="H608" s="79"/>
    </row>
    <row r="609">
      <c r="A609" s="92"/>
      <c r="B609" s="79"/>
      <c r="C609" s="79"/>
      <c r="D609" s="43"/>
      <c r="E609" s="87"/>
      <c r="F609" s="87"/>
      <c r="G609" s="76">
        <f>IFERROR(vlookup(E609,Data!$A$2:$B$4,2,0), 0) + IFERROR(vlookup(F609,Data!$A$2:$B$4,2,0), 0)</f>
        <v>0</v>
      </c>
      <c r="H609" s="79"/>
    </row>
    <row r="610">
      <c r="A610" s="92"/>
      <c r="B610" s="79"/>
      <c r="C610" s="79"/>
      <c r="D610" s="43"/>
      <c r="E610" s="87"/>
      <c r="F610" s="87"/>
      <c r="G610" s="76">
        <f>IFERROR(vlookup(E610,Data!$A$2:$B$4,2,0), 0) + IFERROR(vlookup(F610,Data!$A$2:$B$4,2,0), 0)</f>
        <v>0</v>
      </c>
      <c r="H610" s="79"/>
    </row>
    <row r="611">
      <c r="A611" s="92"/>
      <c r="B611" s="79"/>
      <c r="C611" s="79"/>
      <c r="D611" s="43"/>
      <c r="E611" s="87"/>
      <c r="F611" s="87"/>
      <c r="G611" s="76">
        <f>IFERROR(vlookup(E611,Data!$A$2:$B$4,2,0), 0) + IFERROR(vlookup(F611,Data!$A$2:$B$4,2,0), 0)</f>
        <v>0</v>
      </c>
      <c r="H611" s="79"/>
    </row>
    <row r="612">
      <c r="A612" s="92"/>
      <c r="B612" s="79"/>
      <c r="C612" s="79"/>
      <c r="D612" s="43"/>
      <c r="E612" s="87"/>
      <c r="F612" s="87"/>
      <c r="G612" s="76">
        <f>IFERROR(vlookup(E612,Data!$A$2:$B$4,2,0), 0) + IFERROR(vlookup(F612,Data!$A$2:$B$4,2,0), 0)</f>
        <v>0</v>
      </c>
      <c r="H612" s="79"/>
    </row>
    <row r="613">
      <c r="A613" s="92"/>
      <c r="B613" s="79"/>
      <c r="C613" s="79"/>
      <c r="D613" s="43"/>
      <c r="E613" s="87"/>
      <c r="F613" s="87"/>
      <c r="G613" s="76">
        <f>IFERROR(vlookup(E613,Data!$A$2:$B$4,2,0), 0) + IFERROR(vlookup(F613,Data!$A$2:$B$4,2,0), 0)</f>
        <v>0</v>
      </c>
      <c r="H613" s="79"/>
    </row>
    <row r="614">
      <c r="A614" s="92"/>
      <c r="B614" s="79"/>
      <c r="C614" s="79"/>
      <c r="D614" s="43"/>
      <c r="E614" s="87"/>
      <c r="F614" s="87"/>
      <c r="G614" s="76">
        <f>IFERROR(vlookup(E614,Data!$A$2:$B$4,2,0), 0) + IFERROR(vlookup(F614,Data!$A$2:$B$4,2,0), 0)</f>
        <v>0</v>
      </c>
      <c r="H614" s="79"/>
    </row>
    <row r="615">
      <c r="A615" s="92"/>
      <c r="B615" s="79"/>
      <c r="C615" s="79"/>
      <c r="D615" s="43"/>
      <c r="E615" s="87"/>
      <c r="F615" s="87"/>
      <c r="G615" s="76">
        <f>IFERROR(vlookup(E615,Data!$A$2:$B$4,2,0), 0) + IFERROR(vlookup(F615,Data!$A$2:$B$4,2,0), 0)</f>
        <v>0</v>
      </c>
      <c r="H615" s="79"/>
    </row>
    <row r="616">
      <c r="A616" s="92"/>
      <c r="B616" s="79"/>
      <c r="C616" s="79"/>
      <c r="D616" s="43"/>
      <c r="E616" s="87"/>
      <c r="F616" s="87"/>
      <c r="G616" s="76">
        <f>IFERROR(vlookup(E616,Data!$A$2:$B$4,2,0), 0) + IFERROR(vlookup(F616,Data!$A$2:$B$4,2,0), 0)</f>
        <v>0</v>
      </c>
      <c r="H616" s="79"/>
    </row>
    <row r="617">
      <c r="A617" s="92"/>
      <c r="B617" s="79"/>
      <c r="C617" s="79"/>
      <c r="D617" s="43"/>
      <c r="E617" s="87"/>
      <c r="F617" s="87"/>
      <c r="G617" s="76">
        <f>IFERROR(vlookup(E617,Data!$A$2:$B$4,2,0), 0) + IFERROR(vlookup(F617,Data!$A$2:$B$4,2,0), 0)</f>
        <v>0</v>
      </c>
      <c r="H617" s="79"/>
    </row>
    <row r="618">
      <c r="A618" s="92"/>
      <c r="B618" s="79"/>
      <c r="C618" s="79"/>
      <c r="D618" s="43"/>
      <c r="E618" s="87"/>
      <c r="F618" s="87"/>
      <c r="G618" s="76">
        <f>IFERROR(vlookup(E618,Data!$A$2:$B$4,2,0), 0) + IFERROR(vlookup(F618,Data!$A$2:$B$4,2,0), 0)</f>
        <v>0</v>
      </c>
      <c r="H618" s="79"/>
    </row>
    <row r="619">
      <c r="A619" s="92"/>
      <c r="B619" s="79"/>
      <c r="C619" s="79"/>
      <c r="D619" s="43"/>
      <c r="E619" s="87"/>
      <c r="F619" s="87"/>
      <c r="G619" s="76">
        <f>IFERROR(vlookup(E619,Data!$A$2:$B$4,2,0), 0) + IFERROR(vlookup(F619,Data!$A$2:$B$4,2,0), 0)</f>
        <v>0</v>
      </c>
      <c r="H619" s="79"/>
    </row>
    <row r="620">
      <c r="A620" s="92"/>
      <c r="B620" s="79"/>
      <c r="C620" s="79"/>
      <c r="D620" s="43"/>
      <c r="E620" s="87"/>
      <c r="F620" s="87"/>
      <c r="G620" s="76">
        <f>IFERROR(vlookup(E620,Data!$A$2:$B$4,2,0), 0) + IFERROR(vlookup(F620,Data!$A$2:$B$4,2,0), 0)</f>
        <v>0</v>
      </c>
      <c r="H620" s="79"/>
    </row>
    <row r="621">
      <c r="A621" s="92"/>
      <c r="B621" s="79"/>
      <c r="C621" s="79"/>
      <c r="D621" s="43"/>
      <c r="E621" s="87"/>
      <c r="F621" s="87"/>
      <c r="G621" s="76">
        <f>IFERROR(vlookup(E621,Data!$A$2:$B$4,2,0), 0) + IFERROR(vlookup(F621,Data!$A$2:$B$4,2,0), 0)</f>
        <v>0</v>
      </c>
      <c r="H621" s="79"/>
    </row>
    <row r="622">
      <c r="A622" s="92"/>
      <c r="B622" s="79"/>
      <c r="C622" s="79"/>
      <c r="D622" s="43"/>
      <c r="E622" s="87"/>
      <c r="F622" s="87"/>
      <c r="G622" s="76">
        <f>IFERROR(vlookup(E622,Data!$A$2:$B$4,2,0), 0) + IFERROR(vlookup(F622,Data!$A$2:$B$4,2,0), 0)</f>
        <v>0</v>
      </c>
      <c r="H622" s="79"/>
    </row>
    <row r="623">
      <c r="A623" s="92"/>
      <c r="B623" s="79"/>
      <c r="C623" s="79"/>
      <c r="D623" s="43"/>
      <c r="E623" s="87"/>
      <c r="F623" s="87"/>
      <c r="G623" s="76">
        <f>IFERROR(vlookup(E623,Data!$A$2:$B$4,2,0), 0) + IFERROR(vlookup(F623,Data!$A$2:$B$4,2,0), 0)</f>
        <v>0</v>
      </c>
      <c r="H623" s="79"/>
    </row>
    <row r="624">
      <c r="A624" s="92"/>
      <c r="B624" s="79"/>
      <c r="C624" s="79"/>
      <c r="D624" s="43"/>
      <c r="E624" s="87"/>
      <c r="F624" s="87"/>
      <c r="G624" s="76">
        <f>IFERROR(vlookup(E624,Data!$A$2:$B$4,2,0), 0) + IFERROR(vlookup(F624,Data!$A$2:$B$4,2,0), 0)</f>
        <v>0</v>
      </c>
      <c r="H624" s="79"/>
    </row>
    <row r="625">
      <c r="A625" s="92"/>
      <c r="B625" s="79"/>
      <c r="C625" s="79"/>
      <c r="D625" s="43"/>
      <c r="E625" s="87"/>
      <c r="F625" s="87"/>
      <c r="G625" s="76">
        <f>IFERROR(vlookup(E625,Data!$A$2:$B$4,2,0), 0) + IFERROR(vlookup(F625,Data!$A$2:$B$4,2,0), 0)</f>
        <v>0</v>
      </c>
      <c r="H625" s="79"/>
    </row>
    <row r="626">
      <c r="A626" s="92"/>
      <c r="B626" s="79"/>
      <c r="C626" s="79"/>
      <c r="D626" s="43"/>
      <c r="E626" s="87"/>
      <c r="F626" s="87"/>
      <c r="G626" s="76">
        <f>IFERROR(vlookup(E626,Data!$A$2:$B$4,2,0), 0) + IFERROR(vlookup(F626,Data!$A$2:$B$4,2,0), 0)</f>
        <v>0</v>
      </c>
      <c r="H626" s="79"/>
    </row>
    <row r="627">
      <c r="A627" s="92"/>
      <c r="B627" s="79"/>
      <c r="C627" s="79"/>
      <c r="D627" s="43"/>
      <c r="E627" s="87"/>
      <c r="F627" s="87"/>
      <c r="G627" s="76">
        <f>IFERROR(vlookup(E627,Data!$A$2:$B$4,2,0), 0) + IFERROR(vlookup(F627,Data!$A$2:$B$4,2,0), 0)</f>
        <v>0</v>
      </c>
      <c r="H627" s="79"/>
    </row>
    <row r="628">
      <c r="A628" s="92"/>
      <c r="B628" s="79"/>
      <c r="C628" s="79"/>
      <c r="D628" s="43"/>
      <c r="E628" s="87"/>
      <c r="F628" s="87"/>
      <c r="G628" s="76">
        <f>IFERROR(vlookup(E628,Data!$A$2:$B$4,2,0), 0) + IFERROR(vlookup(F628,Data!$A$2:$B$4,2,0), 0)</f>
        <v>0</v>
      </c>
      <c r="H628" s="79"/>
    </row>
    <row r="629">
      <c r="A629" s="92"/>
      <c r="B629" s="79"/>
      <c r="C629" s="79"/>
      <c r="D629" s="43"/>
      <c r="E629" s="87"/>
      <c r="F629" s="87"/>
      <c r="G629" s="76">
        <f>IFERROR(vlookup(E629,Data!$A$2:$B$4,2,0), 0) + IFERROR(vlookup(F629,Data!$A$2:$B$4,2,0), 0)</f>
        <v>0</v>
      </c>
      <c r="H629" s="79"/>
    </row>
    <row r="630">
      <c r="A630" s="92"/>
      <c r="B630" s="79"/>
      <c r="C630" s="79"/>
      <c r="D630" s="43"/>
      <c r="E630" s="87"/>
      <c r="F630" s="87"/>
      <c r="G630" s="76">
        <f>IFERROR(vlookup(E630,Data!$A$2:$B$4,2,0), 0) + IFERROR(vlookup(F630,Data!$A$2:$B$4,2,0), 0)</f>
        <v>0</v>
      </c>
      <c r="H630" s="79"/>
    </row>
    <row r="631">
      <c r="A631" s="92"/>
      <c r="B631" s="79"/>
      <c r="C631" s="79"/>
      <c r="D631" s="43"/>
      <c r="E631" s="87"/>
      <c r="F631" s="87"/>
      <c r="G631" s="76">
        <f>IFERROR(vlookup(E631,Data!$A$2:$B$4,2,0), 0) + IFERROR(vlookup(F631,Data!$A$2:$B$4,2,0), 0)</f>
        <v>0</v>
      </c>
      <c r="H631" s="79"/>
    </row>
    <row r="632">
      <c r="A632" s="92"/>
      <c r="B632" s="79"/>
      <c r="C632" s="79"/>
      <c r="D632" s="43"/>
      <c r="E632" s="87"/>
      <c r="F632" s="87"/>
      <c r="G632" s="76">
        <f>IFERROR(vlookup(E632,Data!$A$2:$B$4,2,0), 0) + IFERROR(vlookup(F632,Data!$A$2:$B$4,2,0), 0)</f>
        <v>0</v>
      </c>
      <c r="H632" s="79"/>
    </row>
    <row r="633">
      <c r="A633" s="92"/>
      <c r="B633" s="79"/>
      <c r="C633" s="79"/>
      <c r="D633" s="43"/>
      <c r="E633" s="87"/>
      <c r="F633" s="87"/>
      <c r="G633" s="76">
        <f>IFERROR(vlookup(E633,Data!$A$2:$B$4,2,0), 0) + IFERROR(vlookup(F633,Data!$A$2:$B$4,2,0), 0)</f>
        <v>0</v>
      </c>
      <c r="H633" s="79"/>
    </row>
    <row r="634">
      <c r="A634" s="92"/>
      <c r="B634" s="79"/>
      <c r="C634" s="79"/>
      <c r="D634" s="43"/>
      <c r="E634" s="87"/>
      <c r="F634" s="87"/>
      <c r="G634" s="76">
        <f>IFERROR(vlookup(E634,Data!$A$2:$B$4,2,0), 0) + IFERROR(vlookup(F634,Data!$A$2:$B$4,2,0), 0)</f>
        <v>0</v>
      </c>
      <c r="H634" s="79"/>
    </row>
    <row r="635">
      <c r="A635" s="92"/>
      <c r="B635" s="79"/>
      <c r="C635" s="79"/>
      <c r="D635" s="43"/>
      <c r="E635" s="87"/>
      <c r="F635" s="87"/>
      <c r="G635" s="76">
        <f>IFERROR(vlookup(E635,Data!$A$2:$B$4,2,0), 0) + IFERROR(vlookup(F635,Data!$A$2:$B$4,2,0), 0)</f>
        <v>0</v>
      </c>
      <c r="H635" s="79"/>
    </row>
    <row r="636">
      <c r="A636" s="92"/>
      <c r="B636" s="79"/>
      <c r="C636" s="79"/>
      <c r="D636" s="43"/>
      <c r="E636" s="87"/>
      <c r="F636" s="87"/>
      <c r="G636" s="76">
        <f>IFERROR(vlookup(E636,Data!$A$2:$B$4,2,0), 0) + IFERROR(vlookup(F636,Data!$A$2:$B$4,2,0), 0)</f>
        <v>0</v>
      </c>
      <c r="H636" s="79"/>
    </row>
    <row r="637">
      <c r="A637" s="92"/>
      <c r="B637" s="79"/>
      <c r="C637" s="79"/>
      <c r="D637" s="43"/>
      <c r="E637" s="87"/>
      <c r="F637" s="87"/>
      <c r="G637" s="76">
        <f>IFERROR(vlookup(E637,Data!$A$2:$B$4,2,0), 0) + IFERROR(vlookup(F637,Data!$A$2:$B$4,2,0), 0)</f>
        <v>0</v>
      </c>
      <c r="H637" s="79"/>
    </row>
    <row r="638">
      <c r="A638" s="92"/>
      <c r="B638" s="79"/>
      <c r="C638" s="79"/>
      <c r="D638" s="43"/>
      <c r="E638" s="87"/>
      <c r="F638" s="87"/>
      <c r="G638" s="76">
        <f>IFERROR(vlookup(E638,Data!$A$2:$B$4,2,0), 0) + IFERROR(vlookup(F638,Data!$A$2:$B$4,2,0), 0)</f>
        <v>0</v>
      </c>
      <c r="H638" s="79"/>
    </row>
    <row r="639">
      <c r="A639" s="92"/>
      <c r="B639" s="79"/>
      <c r="C639" s="79"/>
      <c r="D639" s="43"/>
      <c r="E639" s="87"/>
      <c r="F639" s="87"/>
      <c r="G639" s="76">
        <f>IFERROR(vlookup(E639,Data!$A$2:$B$4,2,0), 0) + IFERROR(vlookup(F639,Data!$A$2:$B$4,2,0), 0)</f>
        <v>0</v>
      </c>
      <c r="H639" s="79"/>
    </row>
    <row r="640">
      <c r="A640" s="92"/>
      <c r="B640" s="79"/>
      <c r="C640" s="79"/>
      <c r="D640" s="43"/>
      <c r="E640" s="87"/>
      <c r="F640" s="87"/>
      <c r="G640" s="76">
        <f>IFERROR(vlookup(E640,Data!$A$2:$B$4,2,0), 0) + IFERROR(vlookup(F640,Data!$A$2:$B$4,2,0), 0)</f>
        <v>0</v>
      </c>
      <c r="H640" s="79"/>
    </row>
    <row r="641">
      <c r="A641" s="92"/>
      <c r="B641" s="79"/>
      <c r="C641" s="79"/>
      <c r="D641" s="43"/>
      <c r="E641" s="87"/>
      <c r="F641" s="87"/>
      <c r="G641" s="76">
        <f>IFERROR(vlookup(E641,Data!$A$2:$B$4,2,0), 0) + IFERROR(vlookup(F641,Data!$A$2:$B$4,2,0), 0)</f>
        <v>0</v>
      </c>
      <c r="H641" s="79"/>
    </row>
    <row r="642">
      <c r="A642" s="92"/>
      <c r="B642" s="79"/>
      <c r="C642" s="79"/>
      <c r="D642" s="43"/>
      <c r="E642" s="87"/>
      <c r="F642" s="87"/>
      <c r="G642" s="76">
        <f>IFERROR(vlookup(E642,Data!$A$2:$B$4,2,0), 0) + IFERROR(vlookup(F642,Data!$A$2:$B$4,2,0), 0)</f>
        <v>0</v>
      </c>
      <c r="H642" s="79"/>
    </row>
    <row r="643">
      <c r="A643" s="92"/>
      <c r="B643" s="79"/>
      <c r="C643" s="79"/>
      <c r="D643" s="43"/>
      <c r="E643" s="87"/>
      <c r="F643" s="87"/>
      <c r="G643" s="76">
        <f>IFERROR(vlookup(E643,Data!$A$2:$B$4,2,0), 0) + IFERROR(vlookup(F643,Data!$A$2:$B$4,2,0), 0)</f>
        <v>0</v>
      </c>
      <c r="H643" s="79"/>
    </row>
    <row r="644">
      <c r="A644" s="92"/>
      <c r="B644" s="79"/>
      <c r="C644" s="79"/>
      <c r="D644" s="43"/>
      <c r="E644" s="87"/>
      <c r="F644" s="87"/>
      <c r="G644" s="76">
        <f>IFERROR(vlookup(E644,Data!$A$2:$B$4,2,0), 0) + IFERROR(vlookup(F644,Data!$A$2:$B$4,2,0), 0)</f>
        <v>0</v>
      </c>
      <c r="H644" s="79"/>
    </row>
    <row r="645">
      <c r="A645" s="92"/>
      <c r="B645" s="79"/>
      <c r="C645" s="79"/>
      <c r="D645" s="43"/>
      <c r="E645" s="87"/>
      <c r="F645" s="87"/>
      <c r="G645" s="76">
        <f>IFERROR(vlookup(E645,Data!$A$2:$B$4,2,0), 0) + IFERROR(vlookup(F645,Data!$A$2:$B$4,2,0), 0)</f>
        <v>0</v>
      </c>
      <c r="H645" s="79"/>
    </row>
    <row r="646">
      <c r="A646" s="92"/>
      <c r="B646" s="79"/>
      <c r="C646" s="79"/>
      <c r="D646" s="43"/>
      <c r="E646" s="87"/>
      <c r="F646" s="87"/>
      <c r="G646" s="76">
        <f>IFERROR(vlookup(E646,Data!$A$2:$B$4,2,0), 0) + IFERROR(vlookup(F646,Data!$A$2:$B$4,2,0), 0)</f>
        <v>0</v>
      </c>
      <c r="H646" s="79"/>
    </row>
    <row r="647">
      <c r="A647" s="92"/>
      <c r="B647" s="79"/>
      <c r="C647" s="79"/>
      <c r="D647" s="43"/>
      <c r="E647" s="87"/>
      <c r="F647" s="87"/>
      <c r="G647" s="76">
        <f>IFERROR(vlookup(E647,Data!$A$2:$B$4,2,0), 0) + IFERROR(vlookup(F647,Data!$A$2:$B$4,2,0), 0)</f>
        <v>0</v>
      </c>
      <c r="H647" s="79"/>
    </row>
    <row r="648">
      <c r="A648" s="92"/>
      <c r="B648" s="79"/>
      <c r="C648" s="79"/>
      <c r="D648" s="43"/>
      <c r="E648" s="87"/>
      <c r="F648" s="87"/>
      <c r="G648" s="76">
        <f>IFERROR(vlookup(E648,Data!$A$2:$B$4,2,0), 0) + IFERROR(vlookup(F648,Data!$A$2:$B$4,2,0), 0)</f>
        <v>0</v>
      </c>
      <c r="H648" s="79"/>
    </row>
    <row r="649">
      <c r="A649" s="92"/>
      <c r="B649" s="79"/>
      <c r="C649" s="79"/>
      <c r="D649" s="43"/>
      <c r="E649" s="87"/>
      <c r="F649" s="87"/>
      <c r="G649" s="76">
        <f>IFERROR(vlookup(E649,Data!$A$2:$B$4,2,0), 0) + IFERROR(vlookup(F649,Data!$A$2:$B$4,2,0), 0)</f>
        <v>0</v>
      </c>
      <c r="H649" s="79"/>
    </row>
    <row r="650">
      <c r="A650" s="92"/>
      <c r="B650" s="79"/>
      <c r="C650" s="79"/>
      <c r="D650" s="43"/>
      <c r="E650" s="87"/>
      <c r="F650" s="87"/>
      <c r="G650" s="76">
        <f>IFERROR(vlookup(E650,Data!$A$2:$B$4,2,0), 0) + IFERROR(vlookup(F650,Data!$A$2:$B$4,2,0), 0)</f>
        <v>0</v>
      </c>
      <c r="H650" s="79"/>
    </row>
    <row r="651">
      <c r="A651" s="92"/>
      <c r="B651" s="79"/>
      <c r="C651" s="79"/>
      <c r="D651" s="43"/>
      <c r="E651" s="87"/>
      <c r="F651" s="87"/>
      <c r="G651" s="76">
        <f>IFERROR(vlookup(E651,Data!$A$2:$B$4,2,0), 0) + IFERROR(vlookup(F651,Data!$A$2:$B$4,2,0), 0)</f>
        <v>0</v>
      </c>
      <c r="H651" s="79"/>
    </row>
    <row r="652">
      <c r="A652" s="92"/>
      <c r="B652" s="79"/>
      <c r="C652" s="79"/>
      <c r="D652" s="43"/>
      <c r="E652" s="87"/>
      <c r="F652" s="87"/>
      <c r="G652" s="76">
        <f>IFERROR(vlookup(E652,Data!$A$2:$B$4,2,0), 0) + IFERROR(vlookup(F652,Data!$A$2:$B$4,2,0), 0)</f>
        <v>0</v>
      </c>
      <c r="H652" s="79"/>
    </row>
    <row r="653">
      <c r="A653" s="92"/>
      <c r="B653" s="79"/>
      <c r="C653" s="79"/>
      <c r="D653" s="43"/>
      <c r="E653" s="87"/>
      <c r="F653" s="87"/>
      <c r="G653" s="76">
        <f>IFERROR(vlookup(E653,Data!$A$2:$B$4,2,0), 0) + IFERROR(vlookup(F653,Data!$A$2:$B$4,2,0), 0)</f>
        <v>0</v>
      </c>
      <c r="H653" s="79"/>
    </row>
    <row r="654">
      <c r="A654" s="92"/>
      <c r="B654" s="79"/>
      <c r="C654" s="79"/>
      <c r="D654" s="43"/>
      <c r="E654" s="87"/>
      <c r="F654" s="87"/>
      <c r="G654" s="76">
        <f>IFERROR(vlookup(E654,Data!$A$2:$B$4,2,0), 0) + IFERROR(vlookup(F654,Data!$A$2:$B$4,2,0), 0)</f>
        <v>0</v>
      </c>
      <c r="H654" s="79"/>
    </row>
    <row r="655">
      <c r="A655" s="92"/>
      <c r="B655" s="79"/>
      <c r="C655" s="79"/>
      <c r="D655" s="43"/>
      <c r="E655" s="87"/>
      <c r="F655" s="87"/>
      <c r="G655" s="76">
        <f>IFERROR(vlookup(E655,Data!$A$2:$B$4,2,0), 0) + IFERROR(vlookup(F655,Data!$A$2:$B$4,2,0), 0)</f>
        <v>0</v>
      </c>
      <c r="H655" s="79"/>
    </row>
    <row r="656">
      <c r="A656" s="92"/>
      <c r="B656" s="79"/>
      <c r="C656" s="79"/>
      <c r="D656" s="43"/>
      <c r="E656" s="87"/>
      <c r="F656" s="87"/>
      <c r="G656" s="76">
        <f>IFERROR(vlookup(E656,Data!$A$2:$B$4,2,0), 0) + IFERROR(vlookup(F656,Data!$A$2:$B$4,2,0), 0)</f>
        <v>0</v>
      </c>
      <c r="H656" s="79"/>
    </row>
    <row r="657">
      <c r="A657" s="92"/>
      <c r="B657" s="79"/>
      <c r="C657" s="79"/>
      <c r="D657" s="43"/>
      <c r="E657" s="87"/>
      <c r="F657" s="87"/>
      <c r="G657" s="76">
        <f>IFERROR(vlookup(E657,Data!$A$2:$B$4,2,0), 0) + IFERROR(vlookup(F657,Data!$A$2:$B$4,2,0), 0)</f>
        <v>0</v>
      </c>
      <c r="H657" s="79"/>
    </row>
    <row r="658">
      <c r="A658" s="92"/>
      <c r="B658" s="79"/>
      <c r="C658" s="79"/>
      <c r="D658" s="43"/>
      <c r="E658" s="87"/>
      <c r="F658" s="87"/>
      <c r="G658" s="76">
        <f>IFERROR(vlookup(E658,Data!$A$2:$B$4,2,0), 0) + IFERROR(vlookup(F658,Data!$A$2:$B$4,2,0), 0)</f>
        <v>0</v>
      </c>
      <c r="H658" s="79"/>
    </row>
    <row r="659">
      <c r="A659" s="92"/>
      <c r="B659" s="79"/>
      <c r="C659" s="79"/>
      <c r="D659" s="43"/>
      <c r="E659" s="87"/>
      <c r="F659" s="87"/>
      <c r="G659" s="76">
        <f>IFERROR(vlookup(E659,Data!$A$2:$B$4,2,0), 0) + IFERROR(vlookup(F659,Data!$A$2:$B$4,2,0), 0)</f>
        <v>0</v>
      </c>
      <c r="H659" s="79"/>
    </row>
    <row r="660">
      <c r="A660" s="92"/>
      <c r="B660" s="79"/>
      <c r="C660" s="79"/>
      <c r="D660" s="43"/>
      <c r="E660" s="87"/>
      <c r="F660" s="87"/>
      <c r="G660" s="76">
        <f>IFERROR(vlookup(E660,Data!$A$2:$B$4,2,0), 0) + IFERROR(vlookup(F660,Data!$A$2:$B$4,2,0), 0)</f>
        <v>0</v>
      </c>
      <c r="H660" s="79"/>
    </row>
    <row r="661">
      <c r="A661" s="92"/>
      <c r="B661" s="79"/>
      <c r="C661" s="79"/>
      <c r="D661" s="43"/>
      <c r="E661" s="87"/>
      <c r="F661" s="87"/>
      <c r="G661" s="76">
        <f>IFERROR(vlookup(E661,Data!$A$2:$B$4,2,0), 0) + IFERROR(vlookup(F661,Data!$A$2:$B$4,2,0), 0)</f>
        <v>0</v>
      </c>
      <c r="H661" s="79"/>
    </row>
    <row r="662">
      <c r="A662" s="92"/>
      <c r="B662" s="79"/>
      <c r="C662" s="79"/>
      <c r="D662" s="43"/>
      <c r="E662" s="87"/>
      <c r="F662" s="87"/>
      <c r="G662" s="76">
        <f>IFERROR(vlookup(E662,Data!$A$2:$B$4,2,0), 0) + IFERROR(vlookup(F662,Data!$A$2:$B$4,2,0), 0)</f>
        <v>0</v>
      </c>
      <c r="H662" s="79"/>
    </row>
    <row r="663">
      <c r="A663" s="92"/>
      <c r="B663" s="79"/>
      <c r="C663" s="79"/>
      <c r="D663" s="43"/>
      <c r="E663" s="87"/>
      <c r="F663" s="87"/>
      <c r="G663" s="76">
        <f>IFERROR(vlookup(E663,Data!$A$2:$B$4,2,0), 0) + IFERROR(vlookup(F663,Data!$A$2:$B$4,2,0), 0)</f>
        <v>0</v>
      </c>
      <c r="H663" s="79"/>
    </row>
    <row r="664">
      <c r="A664" s="92"/>
      <c r="B664" s="79"/>
      <c r="C664" s="79"/>
      <c r="D664" s="43"/>
      <c r="E664" s="87"/>
      <c r="F664" s="87"/>
      <c r="G664" s="76">
        <f>IFERROR(vlookup(E664,Data!$A$2:$B$4,2,0), 0) + IFERROR(vlookup(F664,Data!$A$2:$B$4,2,0), 0)</f>
        <v>0</v>
      </c>
      <c r="H664" s="79"/>
    </row>
    <row r="665">
      <c r="A665" s="92"/>
      <c r="B665" s="79"/>
      <c r="C665" s="79"/>
      <c r="D665" s="43"/>
      <c r="E665" s="87"/>
      <c r="F665" s="87"/>
      <c r="G665" s="76">
        <f>IFERROR(vlookup(E665,Data!$A$2:$B$4,2,0), 0) + IFERROR(vlookup(F665,Data!$A$2:$B$4,2,0), 0)</f>
        <v>0</v>
      </c>
      <c r="H665" s="79"/>
    </row>
    <row r="666">
      <c r="A666" s="92"/>
      <c r="B666" s="79"/>
      <c r="C666" s="79"/>
      <c r="D666" s="43"/>
      <c r="E666" s="87"/>
      <c r="F666" s="87"/>
      <c r="G666" s="76">
        <f>IFERROR(vlookup(E666,Data!$A$2:$B$4,2,0), 0) + IFERROR(vlookup(F666,Data!$A$2:$B$4,2,0), 0)</f>
        <v>0</v>
      </c>
      <c r="H666" s="79"/>
    </row>
    <row r="667">
      <c r="A667" s="92"/>
      <c r="B667" s="79"/>
      <c r="C667" s="79"/>
      <c r="D667" s="43"/>
      <c r="E667" s="87"/>
      <c r="F667" s="87"/>
      <c r="G667" s="76">
        <f>IFERROR(vlookup(E667,Data!$A$2:$B$4,2,0), 0) + IFERROR(vlookup(F667,Data!$A$2:$B$4,2,0), 0)</f>
        <v>0</v>
      </c>
      <c r="H667" s="79"/>
    </row>
    <row r="668">
      <c r="A668" s="92"/>
      <c r="B668" s="79"/>
      <c r="C668" s="79"/>
      <c r="D668" s="43"/>
      <c r="E668" s="87"/>
      <c r="F668" s="87"/>
      <c r="G668" s="76">
        <f>IFERROR(vlookup(E668,Data!$A$2:$B$4,2,0), 0) + IFERROR(vlookup(F668,Data!$A$2:$B$4,2,0), 0)</f>
        <v>0</v>
      </c>
      <c r="H668" s="79"/>
    </row>
    <row r="669">
      <c r="A669" s="92"/>
      <c r="B669" s="79"/>
      <c r="C669" s="79"/>
      <c r="D669" s="43"/>
      <c r="E669" s="87"/>
      <c r="F669" s="87"/>
      <c r="G669" s="76">
        <f>IFERROR(vlookup(E669,Data!$A$2:$B$4,2,0), 0) + IFERROR(vlookup(F669,Data!$A$2:$B$4,2,0), 0)</f>
        <v>0</v>
      </c>
      <c r="H669" s="79"/>
    </row>
    <row r="670">
      <c r="A670" s="92"/>
      <c r="B670" s="79"/>
      <c r="C670" s="79"/>
      <c r="D670" s="43"/>
      <c r="E670" s="87"/>
      <c r="F670" s="87"/>
      <c r="G670" s="76">
        <f>IFERROR(vlookup(E670,Data!$A$2:$B$4,2,0), 0) + IFERROR(vlookup(F670,Data!$A$2:$B$4,2,0), 0)</f>
        <v>0</v>
      </c>
      <c r="H670" s="79"/>
    </row>
    <row r="671">
      <c r="A671" s="92"/>
      <c r="B671" s="79"/>
      <c r="C671" s="79"/>
      <c r="D671" s="43"/>
      <c r="E671" s="87"/>
      <c r="F671" s="87"/>
      <c r="G671" s="76">
        <f>IFERROR(vlookup(E671,Data!$A$2:$B$4,2,0), 0) + IFERROR(vlookup(F671,Data!$A$2:$B$4,2,0), 0)</f>
        <v>0</v>
      </c>
      <c r="H671" s="79"/>
    </row>
    <row r="672">
      <c r="A672" s="92"/>
      <c r="B672" s="79"/>
      <c r="C672" s="79"/>
      <c r="D672" s="43"/>
      <c r="E672" s="87"/>
      <c r="F672" s="87"/>
      <c r="G672" s="76">
        <f>IFERROR(vlookup(E672,Data!$A$2:$B$4,2,0), 0) + IFERROR(vlookup(F672,Data!$A$2:$B$4,2,0), 0)</f>
        <v>0</v>
      </c>
      <c r="H672" s="79"/>
    </row>
    <row r="673">
      <c r="A673" s="92"/>
      <c r="B673" s="79"/>
      <c r="C673" s="79"/>
      <c r="D673" s="43"/>
      <c r="E673" s="87"/>
      <c r="F673" s="87"/>
      <c r="G673" s="76">
        <f>IFERROR(vlookup(E673,Data!$A$2:$B$4,2,0), 0) + IFERROR(vlookup(F673,Data!$A$2:$B$4,2,0), 0)</f>
        <v>0</v>
      </c>
      <c r="H673" s="79"/>
    </row>
    <row r="674">
      <c r="A674" s="92"/>
      <c r="B674" s="79"/>
      <c r="C674" s="79"/>
      <c r="D674" s="43"/>
      <c r="E674" s="87"/>
      <c r="F674" s="87"/>
      <c r="G674" s="76">
        <f>IFERROR(vlookup(E674,Data!$A$2:$B$4,2,0), 0) + IFERROR(vlookup(F674,Data!$A$2:$B$4,2,0), 0)</f>
        <v>0</v>
      </c>
      <c r="H674" s="79"/>
    </row>
    <row r="675">
      <c r="A675" s="92"/>
      <c r="B675" s="79"/>
      <c r="C675" s="79"/>
      <c r="D675" s="43"/>
      <c r="E675" s="87"/>
      <c r="F675" s="87"/>
      <c r="G675" s="76">
        <f>IFERROR(vlookup(E675,Data!$A$2:$B$4,2,0), 0) + IFERROR(vlookup(F675,Data!$A$2:$B$4,2,0), 0)</f>
        <v>0</v>
      </c>
      <c r="H675" s="79"/>
    </row>
    <row r="676">
      <c r="A676" s="92"/>
      <c r="B676" s="79"/>
      <c r="C676" s="79"/>
      <c r="D676" s="43"/>
      <c r="E676" s="87"/>
      <c r="F676" s="87"/>
      <c r="G676" s="76">
        <f>IFERROR(vlookup(E676,Data!$A$2:$B$4,2,0), 0) + IFERROR(vlookup(F676,Data!$A$2:$B$4,2,0), 0)</f>
        <v>0</v>
      </c>
      <c r="H676" s="79"/>
    </row>
    <row r="677">
      <c r="A677" s="92"/>
      <c r="B677" s="79"/>
      <c r="C677" s="79"/>
      <c r="D677" s="43"/>
      <c r="E677" s="87"/>
      <c r="F677" s="87"/>
      <c r="G677" s="76">
        <f>IFERROR(vlookup(E677,Data!$A$2:$B$4,2,0), 0) + IFERROR(vlookup(F677,Data!$A$2:$B$4,2,0), 0)</f>
        <v>0</v>
      </c>
      <c r="H677" s="79"/>
    </row>
    <row r="678">
      <c r="A678" s="92"/>
      <c r="B678" s="79"/>
      <c r="C678" s="79"/>
      <c r="D678" s="43"/>
      <c r="E678" s="87"/>
      <c r="F678" s="87"/>
      <c r="G678" s="76">
        <f>IFERROR(vlookup(E678,Data!$A$2:$B$4,2,0), 0) + IFERROR(vlookup(F678,Data!$A$2:$B$4,2,0), 0)</f>
        <v>0</v>
      </c>
      <c r="H678" s="79"/>
    </row>
    <row r="679">
      <c r="A679" s="92"/>
      <c r="B679" s="79"/>
      <c r="C679" s="79"/>
      <c r="D679" s="43"/>
      <c r="E679" s="87"/>
      <c r="F679" s="87"/>
      <c r="G679" s="76">
        <f>IFERROR(vlookup(E679,Data!$A$2:$B$4,2,0), 0) + IFERROR(vlookup(F679,Data!$A$2:$B$4,2,0), 0)</f>
        <v>0</v>
      </c>
      <c r="H679" s="79"/>
    </row>
    <row r="680">
      <c r="A680" s="92"/>
      <c r="B680" s="79"/>
      <c r="C680" s="79"/>
      <c r="D680" s="43"/>
      <c r="E680" s="87"/>
      <c r="F680" s="87"/>
      <c r="G680" s="76">
        <f>IFERROR(vlookup(E680,Data!$A$2:$B$4,2,0), 0) + IFERROR(vlookup(F680,Data!$A$2:$B$4,2,0), 0)</f>
        <v>0</v>
      </c>
      <c r="H680" s="79"/>
    </row>
    <row r="681">
      <c r="A681" s="92"/>
      <c r="B681" s="79"/>
      <c r="C681" s="79"/>
      <c r="D681" s="43"/>
      <c r="E681" s="87"/>
      <c r="F681" s="87"/>
      <c r="G681" s="76">
        <f>IFERROR(vlookup(E681,Data!$A$2:$B$4,2,0), 0) + IFERROR(vlookup(F681,Data!$A$2:$B$4,2,0), 0)</f>
        <v>0</v>
      </c>
      <c r="H681" s="79"/>
    </row>
    <row r="682">
      <c r="A682" s="92"/>
      <c r="B682" s="79"/>
      <c r="C682" s="79"/>
      <c r="D682" s="43"/>
      <c r="E682" s="87"/>
      <c r="F682" s="87"/>
      <c r="G682" s="76">
        <f>IFERROR(vlookup(E682,Data!$A$2:$B$4,2,0), 0) + IFERROR(vlookup(F682,Data!$A$2:$B$4,2,0), 0)</f>
        <v>0</v>
      </c>
      <c r="H682" s="79"/>
    </row>
    <row r="683">
      <c r="A683" s="92"/>
      <c r="B683" s="79"/>
      <c r="C683" s="79"/>
      <c r="D683" s="43"/>
      <c r="E683" s="87"/>
      <c r="F683" s="87"/>
      <c r="G683" s="76">
        <f>IFERROR(vlookup(E683,Data!$A$2:$B$4,2,0), 0) + IFERROR(vlookup(F683,Data!$A$2:$B$4,2,0), 0)</f>
        <v>0</v>
      </c>
      <c r="H683" s="79"/>
    </row>
    <row r="684">
      <c r="A684" s="92"/>
      <c r="B684" s="79"/>
      <c r="C684" s="79"/>
      <c r="D684" s="43"/>
      <c r="E684" s="87"/>
      <c r="F684" s="87"/>
      <c r="G684" s="76">
        <f>IFERROR(vlookup(E684,Data!$A$2:$B$4,2,0), 0) + IFERROR(vlookup(F684,Data!$A$2:$B$4,2,0), 0)</f>
        <v>0</v>
      </c>
      <c r="H684" s="79"/>
    </row>
    <row r="685">
      <c r="A685" s="92"/>
      <c r="B685" s="79"/>
      <c r="C685" s="79"/>
      <c r="D685" s="43"/>
      <c r="E685" s="87"/>
      <c r="F685" s="87"/>
      <c r="G685" s="76">
        <f>IFERROR(vlookup(E685,Data!$A$2:$B$4,2,0), 0) + IFERROR(vlookup(F685,Data!$A$2:$B$4,2,0), 0)</f>
        <v>0</v>
      </c>
      <c r="H685" s="79"/>
    </row>
    <row r="686">
      <c r="A686" s="92"/>
      <c r="B686" s="79"/>
      <c r="C686" s="79"/>
      <c r="D686" s="43"/>
      <c r="E686" s="87"/>
      <c r="F686" s="87"/>
      <c r="G686" s="76">
        <f>IFERROR(vlookup(E686,Data!$A$2:$B$4,2,0), 0) + IFERROR(vlookup(F686,Data!$A$2:$B$4,2,0), 0)</f>
        <v>0</v>
      </c>
      <c r="H686" s="79"/>
    </row>
    <row r="687">
      <c r="A687" s="92"/>
      <c r="B687" s="79"/>
      <c r="C687" s="79"/>
      <c r="D687" s="43"/>
      <c r="E687" s="87"/>
      <c r="F687" s="87"/>
      <c r="G687" s="76">
        <f>IFERROR(vlookup(E687,Data!$A$2:$B$4,2,0), 0) + IFERROR(vlookup(F687,Data!$A$2:$B$4,2,0), 0)</f>
        <v>0</v>
      </c>
      <c r="H687" s="79"/>
    </row>
    <row r="688">
      <c r="A688" s="92"/>
      <c r="B688" s="79"/>
      <c r="C688" s="79"/>
      <c r="D688" s="43"/>
      <c r="E688" s="87"/>
      <c r="F688" s="87"/>
      <c r="G688" s="76">
        <f>IFERROR(vlookup(E688,Data!$A$2:$B$4,2,0), 0) + IFERROR(vlookup(F688,Data!$A$2:$B$4,2,0), 0)</f>
        <v>0</v>
      </c>
      <c r="H688" s="79"/>
    </row>
    <row r="689">
      <c r="A689" s="92"/>
      <c r="B689" s="79"/>
      <c r="C689" s="79"/>
      <c r="D689" s="43"/>
      <c r="E689" s="87"/>
      <c r="F689" s="87"/>
      <c r="G689" s="76">
        <f>IFERROR(vlookup(E689,Data!$A$2:$B$4,2,0), 0) + IFERROR(vlookup(F689,Data!$A$2:$B$4,2,0), 0)</f>
        <v>0</v>
      </c>
      <c r="H689" s="79"/>
    </row>
    <row r="690">
      <c r="A690" s="92"/>
      <c r="B690" s="79"/>
      <c r="C690" s="79"/>
      <c r="D690" s="43"/>
      <c r="E690" s="87"/>
      <c r="F690" s="87"/>
      <c r="G690" s="76">
        <f>IFERROR(vlookup(E690,Data!$A$2:$B$4,2,0), 0) + IFERROR(vlookup(F690,Data!$A$2:$B$4,2,0), 0)</f>
        <v>0</v>
      </c>
      <c r="H690" s="79"/>
    </row>
    <row r="691">
      <c r="A691" s="92"/>
      <c r="B691" s="79"/>
      <c r="C691" s="79"/>
      <c r="D691" s="43"/>
      <c r="E691" s="87"/>
      <c r="F691" s="87"/>
      <c r="G691" s="76">
        <f>IFERROR(vlookup(E691,Data!$A$2:$B$4,2,0), 0) + IFERROR(vlookup(F691,Data!$A$2:$B$4,2,0), 0)</f>
        <v>0</v>
      </c>
      <c r="H691" s="79"/>
    </row>
    <row r="692">
      <c r="A692" s="92"/>
      <c r="B692" s="79"/>
      <c r="C692" s="79"/>
      <c r="D692" s="43"/>
      <c r="E692" s="87"/>
      <c r="F692" s="87"/>
      <c r="G692" s="76">
        <f>IFERROR(vlookup(E692,Data!$A$2:$B$4,2,0), 0) + IFERROR(vlookup(F692,Data!$A$2:$B$4,2,0), 0)</f>
        <v>0</v>
      </c>
      <c r="H692" s="79"/>
    </row>
    <row r="693">
      <c r="A693" s="92"/>
      <c r="B693" s="79"/>
      <c r="C693" s="79"/>
      <c r="D693" s="43"/>
      <c r="E693" s="87"/>
      <c r="F693" s="87"/>
      <c r="G693" s="76">
        <f>IFERROR(vlookup(E693,Data!$A$2:$B$4,2,0), 0) + IFERROR(vlookup(F693,Data!$A$2:$B$4,2,0), 0)</f>
        <v>0</v>
      </c>
      <c r="H693" s="79"/>
    </row>
    <row r="694">
      <c r="A694" s="92"/>
      <c r="B694" s="79"/>
      <c r="C694" s="79"/>
      <c r="D694" s="43"/>
      <c r="E694" s="87"/>
      <c r="F694" s="87"/>
      <c r="G694" s="76">
        <f>IFERROR(vlookup(E694,Data!$A$2:$B$4,2,0), 0) + IFERROR(vlookup(F694,Data!$A$2:$B$4,2,0), 0)</f>
        <v>0</v>
      </c>
      <c r="H694" s="79"/>
    </row>
    <row r="695">
      <c r="A695" s="92"/>
      <c r="B695" s="79"/>
      <c r="C695" s="79"/>
      <c r="D695" s="43"/>
      <c r="E695" s="87"/>
      <c r="F695" s="87"/>
      <c r="G695" s="76">
        <f>IFERROR(vlookup(E695,Data!$A$2:$B$4,2,0), 0) + IFERROR(vlookup(F695,Data!$A$2:$B$4,2,0), 0)</f>
        <v>0</v>
      </c>
      <c r="H695" s="79"/>
    </row>
    <row r="696">
      <c r="A696" s="92"/>
      <c r="B696" s="79"/>
      <c r="C696" s="79"/>
      <c r="D696" s="43"/>
      <c r="E696" s="87"/>
      <c r="F696" s="87"/>
      <c r="G696" s="76">
        <f>IFERROR(vlookup(E696,Data!$A$2:$B$4,2,0), 0) + IFERROR(vlookup(F696,Data!$A$2:$B$4,2,0), 0)</f>
        <v>0</v>
      </c>
      <c r="H696" s="79"/>
    </row>
    <row r="697">
      <c r="A697" s="92"/>
      <c r="B697" s="79"/>
      <c r="C697" s="79"/>
      <c r="D697" s="43"/>
      <c r="E697" s="87"/>
      <c r="F697" s="87"/>
      <c r="G697" s="76">
        <f>IFERROR(vlookup(E697,Data!$A$2:$B$4,2,0), 0) + IFERROR(vlookup(F697,Data!$A$2:$B$4,2,0), 0)</f>
        <v>0</v>
      </c>
      <c r="H697" s="79"/>
    </row>
    <row r="698">
      <c r="A698" s="92"/>
      <c r="B698" s="79"/>
      <c r="C698" s="79"/>
      <c r="D698" s="43"/>
      <c r="E698" s="87"/>
      <c r="F698" s="87"/>
      <c r="G698" s="76">
        <f>IFERROR(vlookup(E698,Data!$A$2:$B$4,2,0), 0) + IFERROR(vlookup(F698,Data!$A$2:$B$4,2,0), 0)</f>
        <v>0</v>
      </c>
      <c r="H698" s="79"/>
    </row>
    <row r="699">
      <c r="A699" s="92"/>
      <c r="B699" s="79"/>
      <c r="C699" s="79"/>
      <c r="D699" s="43"/>
      <c r="E699" s="87"/>
      <c r="F699" s="87"/>
      <c r="G699" s="76">
        <f>IFERROR(vlookup(E699,Data!$A$2:$B$4,2,0), 0) + IFERROR(vlookup(F699,Data!$A$2:$B$4,2,0), 0)</f>
        <v>0</v>
      </c>
      <c r="H699" s="79"/>
    </row>
    <row r="700">
      <c r="A700" s="92"/>
      <c r="B700" s="79"/>
      <c r="C700" s="79"/>
      <c r="D700" s="43"/>
      <c r="E700" s="87"/>
      <c r="F700" s="87"/>
      <c r="G700" s="76">
        <f>IFERROR(vlookup(E700,Data!$A$2:$B$4,2,0), 0) + IFERROR(vlookup(F700,Data!$A$2:$B$4,2,0), 0)</f>
        <v>0</v>
      </c>
      <c r="H700" s="79"/>
    </row>
    <row r="701">
      <c r="A701" s="92"/>
      <c r="B701" s="79"/>
      <c r="C701" s="79"/>
      <c r="D701" s="43"/>
      <c r="E701" s="87"/>
      <c r="F701" s="87"/>
      <c r="G701" s="76">
        <f>IFERROR(vlookup(E701,Data!$A$2:$B$4,2,0), 0) + IFERROR(vlookup(F701,Data!$A$2:$B$4,2,0), 0)</f>
        <v>0</v>
      </c>
      <c r="H701" s="79"/>
    </row>
    <row r="702">
      <c r="A702" s="92"/>
      <c r="B702" s="79"/>
      <c r="C702" s="79"/>
      <c r="D702" s="43"/>
      <c r="E702" s="87"/>
      <c r="F702" s="87"/>
      <c r="G702" s="76">
        <f>IFERROR(vlookup(E702,Data!$A$2:$B$4,2,0), 0) + IFERROR(vlookup(F702,Data!$A$2:$B$4,2,0), 0)</f>
        <v>0</v>
      </c>
      <c r="H702" s="79"/>
    </row>
    <row r="703">
      <c r="A703" s="92"/>
      <c r="B703" s="79"/>
      <c r="C703" s="79"/>
      <c r="D703" s="43"/>
      <c r="E703" s="87"/>
      <c r="F703" s="87"/>
      <c r="G703" s="76">
        <f>IFERROR(vlookup(E703,Data!$A$2:$B$4,2,0), 0) + IFERROR(vlookup(F703,Data!$A$2:$B$4,2,0), 0)</f>
        <v>0</v>
      </c>
      <c r="H703" s="79"/>
    </row>
    <row r="704">
      <c r="A704" s="92"/>
      <c r="B704" s="79"/>
      <c r="C704" s="79"/>
      <c r="D704" s="43"/>
      <c r="E704" s="87"/>
      <c r="F704" s="87"/>
      <c r="G704" s="76">
        <f>IFERROR(vlookup(E704,Data!$A$2:$B$4,2,0), 0) + IFERROR(vlookup(F704,Data!$A$2:$B$4,2,0), 0)</f>
        <v>0</v>
      </c>
      <c r="H704" s="79"/>
    </row>
    <row r="705">
      <c r="A705" s="92"/>
      <c r="B705" s="79"/>
      <c r="C705" s="79"/>
      <c r="D705" s="43"/>
      <c r="E705" s="87"/>
      <c r="F705" s="87"/>
      <c r="G705" s="76">
        <f>IFERROR(vlookup(E705,Data!$A$2:$B$4,2,0), 0) + IFERROR(vlookup(F705,Data!$A$2:$B$4,2,0), 0)</f>
        <v>0</v>
      </c>
      <c r="H705" s="79"/>
    </row>
    <row r="706">
      <c r="A706" s="92"/>
      <c r="B706" s="79"/>
      <c r="C706" s="79"/>
      <c r="D706" s="43"/>
      <c r="E706" s="87"/>
      <c r="F706" s="87"/>
      <c r="G706" s="76">
        <f>IFERROR(vlookup(E706,Data!$A$2:$B$4,2,0), 0) + IFERROR(vlookup(F706,Data!$A$2:$B$4,2,0), 0)</f>
        <v>0</v>
      </c>
      <c r="H706" s="79"/>
    </row>
    <row r="707">
      <c r="A707" s="92"/>
      <c r="B707" s="79"/>
      <c r="C707" s="79"/>
      <c r="D707" s="43"/>
      <c r="E707" s="87"/>
      <c r="F707" s="87"/>
      <c r="G707" s="76">
        <f>IFERROR(vlookup(E707,Data!$A$2:$B$4,2,0), 0) + IFERROR(vlookup(F707,Data!$A$2:$B$4,2,0), 0)</f>
        <v>0</v>
      </c>
      <c r="H707" s="79"/>
    </row>
    <row r="708">
      <c r="A708" s="92"/>
      <c r="B708" s="79"/>
      <c r="C708" s="79"/>
      <c r="D708" s="43"/>
      <c r="E708" s="87"/>
      <c r="F708" s="87"/>
      <c r="G708" s="76">
        <f>IFERROR(vlookup(E708,Data!$A$2:$B$4,2,0), 0) + IFERROR(vlookup(F708,Data!$A$2:$B$4,2,0), 0)</f>
        <v>0</v>
      </c>
      <c r="H708" s="79"/>
    </row>
    <row r="709">
      <c r="A709" s="92"/>
      <c r="B709" s="79"/>
      <c r="C709" s="79"/>
      <c r="D709" s="43"/>
      <c r="E709" s="87"/>
      <c r="F709" s="87"/>
      <c r="G709" s="76">
        <f>IFERROR(vlookup(E709,Data!$A$2:$B$4,2,0), 0) + IFERROR(vlookup(F709,Data!$A$2:$B$4,2,0), 0)</f>
        <v>0</v>
      </c>
      <c r="H709" s="79"/>
    </row>
    <row r="710">
      <c r="A710" s="92"/>
      <c r="B710" s="79"/>
      <c r="C710" s="79"/>
      <c r="D710" s="43"/>
      <c r="E710" s="87"/>
      <c r="F710" s="87"/>
      <c r="G710" s="76">
        <f>IFERROR(vlookup(E710,Data!$A$2:$B$4,2,0), 0) + IFERROR(vlookup(F710,Data!$A$2:$B$4,2,0), 0)</f>
        <v>0</v>
      </c>
      <c r="H710" s="79"/>
    </row>
    <row r="711">
      <c r="A711" s="92"/>
      <c r="B711" s="79"/>
      <c r="C711" s="79"/>
      <c r="D711" s="43"/>
      <c r="E711" s="87"/>
      <c r="F711" s="87"/>
      <c r="G711" s="76">
        <f>IFERROR(vlookup(E711,Data!$A$2:$B$4,2,0), 0) + IFERROR(vlookup(F711,Data!$A$2:$B$4,2,0), 0)</f>
        <v>0</v>
      </c>
      <c r="H711" s="79"/>
    </row>
    <row r="712">
      <c r="A712" s="92"/>
      <c r="B712" s="79"/>
      <c r="C712" s="79"/>
      <c r="D712" s="43"/>
      <c r="E712" s="87"/>
      <c r="F712" s="87"/>
      <c r="G712" s="76">
        <f>IFERROR(vlookup(E712,Data!$A$2:$B$4,2,0), 0) + IFERROR(vlookup(F712,Data!$A$2:$B$4,2,0), 0)</f>
        <v>0</v>
      </c>
      <c r="H712" s="79"/>
    </row>
    <row r="713">
      <c r="A713" s="92"/>
      <c r="B713" s="79"/>
      <c r="C713" s="79"/>
      <c r="D713" s="43"/>
      <c r="E713" s="87"/>
      <c r="F713" s="87"/>
      <c r="G713" s="76">
        <f>IFERROR(vlookup(E713,Data!$A$2:$B$4,2,0), 0) + IFERROR(vlookup(F713,Data!$A$2:$B$4,2,0), 0)</f>
        <v>0</v>
      </c>
      <c r="H713" s="79"/>
    </row>
    <row r="714">
      <c r="A714" s="92"/>
      <c r="B714" s="79"/>
      <c r="C714" s="79"/>
      <c r="D714" s="43"/>
      <c r="E714" s="87"/>
      <c r="F714" s="87"/>
      <c r="G714" s="76">
        <f>IFERROR(vlookup(E714,Data!$A$2:$B$4,2,0), 0) + IFERROR(vlookup(F714,Data!$A$2:$B$4,2,0), 0)</f>
        <v>0</v>
      </c>
      <c r="H714" s="79"/>
    </row>
    <row r="715">
      <c r="A715" s="92"/>
      <c r="B715" s="79"/>
      <c r="C715" s="79"/>
      <c r="D715" s="43"/>
      <c r="E715" s="87"/>
      <c r="F715" s="87"/>
      <c r="G715" s="76">
        <f>IFERROR(vlookup(E715,Data!$A$2:$B$4,2,0), 0) + IFERROR(vlookup(F715,Data!$A$2:$B$4,2,0), 0)</f>
        <v>0</v>
      </c>
      <c r="H715" s="79"/>
    </row>
    <row r="716">
      <c r="A716" s="92"/>
      <c r="B716" s="79"/>
      <c r="C716" s="79"/>
      <c r="D716" s="43"/>
      <c r="E716" s="87"/>
      <c r="F716" s="87"/>
      <c r="G716" s="76">
        <f>IFERROR(vlookup(E716,Data!$A$2:$B$4,2,0), 0) + IFERROR(vlookup(F716,Data!$A$2:$B$4,2,0), 0)</f>
        <v>0</v>
      </c>
      <c r="H716" s="79"/>
    </row>
    <row r="717">
      <c r="A717" s="92"/>
      <c r="B717" s="79"/>
      <c r="C717" s="79"/>
      <c r="D717" s="43"/>
      <c r="E717" s="87"/>
      <c r="F717" s="87"/>
      <c r="G717" s="76">
        <f>IFERROR(vlookup(E717,Data!$A$2:$B$4,2,0), 0) + IFERROR(vlookup(F717,Data!$A$2:$B$4,2,0), 0)</f>
        <v>0</v>
      </c>
      <c r="H717" s="79"/>
    </row>
    <row r="718">
      <c r="A718" s="92"/>
      <c r="B718" s="79"/>
      <c r="C718" s="79"/>
      <c r="D718" s="43"/>
      <c r="E718" s="87"/>
      <c r="F718" s="87"/>
      <c r="G718" s="76">
        <f>IFERROR(vlookup(E718,Data!$A$2:$B$4,2,0), 0) + IFERROR(vlookup(F718,Data!$A$2:$B$4,2,0), 0)</f>
        <v>0</v>
      </c>
      <c r="H718" s="79"/>
    </row>
    <row r="719">
      <c r="A719" s="92"/>
      <c r="B719" s="79"/>
      <c r="C719" s="79"/>
      <c r="D719" s="43"/>
      <c r="E719" s="87"/>
      <c r="F719" s="87"/>
      <c r="G719" s="76">
        <f>IFERROR(vlookup(E719,Data!$A$2:$B$4,2,0), 0) + IFERROR(vlookup(F719,Data!$A$2:$B$4,2,0), 0)</f>
        <v>0</v>
      </c>
      <c r="H719" s="79"/>
    </row>
    <row r="720">
      <c r="A720" s="92"/>
      <c r="B720" s="79"/>
      <c r="C720" s="79"/>
      <c r="D720" s="43"/>
      <c r="E720" s="87"/>
      <c r="F720" s="87"/>
      <c r="G720" s="76">
        <f>IFERROR(vlookup(E720,Data!$A$2:$B$4,2,0), 0) + IFERROR(vlookup(F720,Data!$A$2:$B$4,2,0), 0)</f>
        <v>0</v>
      </c>
      <c r="H720" s="79"/>
    </row>
    <row r="721">
      <c r="A721" s="92"/>
      <c r="B721" s="79"/>
      <c r="C721" s="79"/>
      <c r="D721" s="43"/>
      <c r="E721" s="87"/>
      <c r="F721" s="87"/>
      <c r="G721" s="76">
        <f>IFERROR(vlookup(E721,Data!$A$2:$B$4,2,0), 0) + IFERROR(vlookup(F721,Data!$A$2:$B$4,2,0), 0)</f>
        <v>0</v>
      </c>
      <c r="H721" s="79"/>
    </row>
    <row r="722">
      <c r="A722" s="92"/>
      <c r="B722" s="79"/>
      <c r="C722" s="79"/>
      <c r="D722" s="43"/>
      <c r="E722" s="87"/>
      <c r="F722" s="87"/>
      <c r="G722" s="76">
        <f>IFERROR(vlookup(E722,Data!$A$2:$B$4,2,0), 0) + IFERROR(vlookup(F722,Data!$A$2:$B$4,2,0), 0)</f>
        <v>0</v>
      </c>
      <c r="H722" s="79"/>
    </row>
    <row r="723">
      <c r="A723" s="92"/>
      <c r="B723" s="79"/>
      <c r="C723" s="79"/>
      <c r="D723" s="43"/>
      <c r="E723" s="87"/>
      <c r="F723" s="87"/>
      <c r="G723" s="76">
        <f>IFERROR(vlookup(E723,Data!$A$2:$B$4,2,0), 0) + IFERROR(vlookup(F723,Data!$A$2:$B$4,2,0), 0)</f>
        <v>0</v>
      </c>
      <c r="H723" s="79"/>
    </row>
    <row r="724">
      <c r="A724" s="92"/>
      <c r="B724" s="79"/>
      <c r="C724" s="79"/>
      <c r="D724" s="43"/>
      <c r="E724" s="87"/>
      <c r="F724" s="87"/>
      <c r="G724" s="76">
        <f>IFERROR(vlookup(E724,Data!$A$2:$B$4,2,0), 0) + IFERROR(vlookup(F724,Data!$A$2:$B$4,2,0), 0)</f>
        <v>0</v>
      </c>
      <c r="H724" s="79"/>
    </row>
    <row r="725">
      <c r="A725" s="92"/>
      <c r="B725" s="79"/>
      <c r="C725" s="79"/>
      <c r="D725" s="43"/>
      <c r="E725" s="87"/>
      <c r="F725" s="87"/>
      <c r="G725" s="76">
        <f>IFERROR(vlookup(E725,Data!$A$2:$B$4,2,0), 0) + IFERROR(vlookup(F725,Data!$A$2:$B$4,2,0), 0)</f>
        <v>0</v>
      </c>
      <c r="H725" s="79"/>
    </row>
    <row r="726">
      <c r="A726" s="92"/>
      <c r="B726" s="79"/>
      <c r="C726" s="79"/>
      <c r="D726" s="43"/>
      <c r="E726" s="87"/>
      <c r="F726" s="87"/>
      <c r="G726" s="76">
        <f>IFERROR(vlookup(E726,Data!$A$2:$B$4,2,0), 0) + IFERROR(vlookup(F726,Data!$A$2:$B$4,2,0), 0)</f>
        <v>0</v>
      </c>
      <c r="H726" s="79"/>
    </row>
    <row r="727">
      <c r="A727" s="92"/>
      <c r="B727" s="79"/>
      <c r="C727" s="79"/>
      <c r="D727" s="43"/>
      <c r="E727" s="87"/>
      <c r="F727" s="87"/>
      <c r="G727" s="76">
        <f>IFERROR(vlookup(E727,Data!$A$2:$B$4,2,0), 0) + IFERROR(vlookup(F727,Data!$A$2:$B$4,2,0), 0)</f>
        <v>0</v>
      </c>
      <c r="H727" s="79"/>
    </row>
    <row r="728">
      <c r="A728" s="92"/>
      <c r="B728" s="79"/>
      <c r="C728" s="79"/>
      <c r="D728" s="43"/>
      <c r="E728" s="87"/>
      <c r="F728" s="87"/>
      <c r="G728" s="76">
        <f>IFERROR(vlookup(E728,Data!$A$2:$B$4,2,0), 0) + IFERROR(vlookup(F728,Data!$A$2:$B$4,2,0), 0)</f>
        <v>0</v>
      </c>
      <c r="H728" s="79"/>
    </row>
    <row r="729">
      <c r="A729" s="92"/>
      <c r="B729" s="79"/>
      <c r="C729" s="79"/>
      <c r="D729" s="43"/>
      <c r="E729" s="87"/>
      <c r="F729" s="87"/>
      <c r="G729" s="76">
        <f>IFERROR(vlookup(E729,Data!$A$2:$B$4,2,0), 0) + IFERROR(vlookup(F729,Data!$A$2:$B$4,2,0), 0)</f>
        <v>0</v>
      </c>
      <c r="H729" s="79"/>
    </row>
    <row r="730">
      <c r="A730" s="92"/>
      <c r="B730" s="79"/>
      <c r="C730" s="79"/>
      <c r="D730" s="43"/>
      <c r="E730" s="87"/>
      <c r="F730" s="87"/>
      <c r="G730" s="76">
        <f>IFERROR(vlookup(E730,Data!$A$2:$B$4,2,0), 0) + IFERROR(vlookup(F730,Data!$A$2:$B$4,2,0), 0)</f>
        <v>0</v>
      </c>
      <c r="H730" s="79"/>
    </row>
    <row r="731">
      <c r="A731" s="92"/>
      <c r="B731" s="79"/>
      <c r="C731" s="79"/>
      <c r="D731" s="43"/>
      <c r="E731" s="87"/>
      <c r="F731" s="87"/>
      <c r="G731" s="76">
        <f>IFERROR(vlookup(E731,Data!$A$2:$B$4,2,0), 0) + IFERROR(vlookup(F731,Data!$A$2:$B$4,2,0), 0)</f>
        <v>0</v>
      </c>
      <c r="H731" s="79"/>
    </row>
    <row r="732">
      <c r="A732" s="92"/>
      <c r="B732" s="79"/>
      <c r="C732" s="79"/>
      <c r="D732" s="43"/>
      <c r="E732" s="87"/>
      <c r="F732" s="87"/>
      <c r="G732" s="76">
        <f>IFERROR(vlookup(E732,Data!$A$2:$B$4,2,0), 0) + IFERROR(vlookup(F732,Data!$A$2:$B$4,2,0), 0)</f>
        <v>0</v>
      </c>
      <c r="H732" s="79"/>
    </row>
    <row r="733">
      <c r="A733" s="92"/>
      <c r="B733" s="79"/>
      <c r="C733" s="79"/>
      <c r="D733" s="43"/>
      <c r="E733" s="87"/>
      <c r="F733" s="87"/>
      <c r="G733" s="76">
        <f>IFERROR(vlookup(E733,Data!$A$2:$B$4,2,0), 0) + IFERROR(vlookup(F733,Data!$A$2:$B$4,2,0), 0)</f>
        <v>0</v>
      </c>
      <c r="H733" s="79"/>
    </row>
    <row r="734">
      <c r="A734" s="92"/>
      <c r="B734" s="79"/>
      <c r="C734" s="79"/>
      <c r="D734" s="43"/>
      <c r="E734" s="87"/>
      <c r="F734" s="87"/>
      <c r="G734" s="76">
        <f>IFERROR(vlookup(E734,Data!$A$2:$B$4,2,0), 0) + IFERROR(vlookup(F734,Data!$A$2:$B$4,2,0), 0)</f>
        <v>0</v>
      </c>
      <c r="H734" s="79"/>
    </row>
    <row r="735">
      <c r="A735" s="92"/>
      <c r="B735" s="79"/>
      <c r="C735" s="79"/>
      <c r="D735" s="43"/>
      <c r="E735" s="87"/>
      <c r="F735" s="87"/>
      <c r="G735" s="76">
        <f>IFERROR(vlookup(E735,Data!$A$2:$B$4,2,0), 0) + IFERROR(vlookup(F735,Data!$A$2:$B$4,2,0), 0)</f>
        <v>0</v>
      </c>
      <c r="H735" s="79"/>
    </row>
    <row r="736">
      <c r="A736" s="92"/>
      <c r="B736" s="79"/>
      <c r="C736" s="79"/>
      <c r="D736" s="43"/>
      <c r="E736" s="87"/>
      <c r="F736" s="87"/>
      <c r="G736" s="76">
        <f>IFERROR(vlookup(E736,Data!$A$2:$B$4,2,0), 0) + IFERROR(vlookup(F736,Data!$A$2:$B$4,2,0), 0)</f>
        <v>0</v>
      </c>
      <c r="H736" s="79"/>
    </row>
    <row r="737">
      <c r="A737" s="92"/>
      <c r="B737" s="79"/>
      <c r="C737" s="79"/>
      <c r="D737" s="43"/>
      <c r="E737" s="87"/>
      <c r="F737" s="87"/>
      <c r="G737" s="76">
        <f>IFERROR(vlookup(E737,Data!$A$2:$B$4,2,0), 0) + IFERROR(vlookup(F737,Data!$A$2:$B$4,2,0), 0)</f>
        <v>0</v>
      </c>
      <c r="H737" s="79"/>
    </row>
    <row r="738">
      <c r="A738" s="92"/>
      <c r="B738" s="79"/>
      <c r="C738" s="79"/>
      <c r="D738" s="43"/>
      <c r="E738" s="87"/>
      <c r="F738" s="87"/>
      <c r="G738" s="76">
        <f>IFERROR(vlookup(E738,Data!$A$2:$B$4,2,0), 0) + IFERROR(vlookup(F738,Data!$A$2:$B$4,2,0), 0)</f>
        <v>0</v>
      </c>
      <c r="H738" s="79"/>
    </row>
    <row r="739">
      <c r="A739" s="92"/>
      <c r="B739" s="79"/>
      <c r="C739" s="79"/>
      <c r="D739" s="43"/>
      <c r="E739" s="87"/>
      <c r="F739" s="87"/>
      <c r="G739" s="76">
        <f>IFERROR(vlookup(E739,Data!$A$2:$B$4,2,0), 0) + IFERROR(vlookup(F739,Data!$A$2:$B$4,2,0), 0)</f>
        <v>0</v>
      </c>
      <c r="H739" s="79"/>
    </row>
    <row r="740">
      <c r="A740" s="92"/>
      <c r="B740" s="79"/>
      <c r="C740" s="79"/>
      <c r="D740" s="43"/>
      <c r="E740" s="87"/>
      <c r="F740" s="87"/>
      <c r="G740" s="76">
        <f>IFERROR(vlookup(E740,Data!$A$2:$B$4,2,0), 0) + IFERROR(vlookup(F740,Data!$A$2:$B$4,2,0), 0)</f>
        <v>0</v>
      </c>
      <c r="H740" s="79"/>
    </row>
    <row r="741">
      <c r="A741" s="92"/>
      <c r="B741" s="79"/>
      <c r="C741" s="79"/>
      <c r="D741" s="43"/>
      <c r="E741" s="87"/>
      <c r="F741" s="87"/>
      <c r="G741" s="76">
        <f>IFERROR(vlookup(E741,Data!$A$2:$B$4,2,0), 0) + IFERROR(vlookup(F741,Data!$A$2:$B$4,2,0), 0)</f>
        <v>0</v>
      </c>
      <c r="H741" s="79"/>
    </row>
    <row r="742">
      <c r="A742" s="92"/>
      <c r="B742" s="79"/>
      <c r="C742" s="79"/>
      <c r="D742" s="43"/>
      <c r="E742" s="87"/>
      <c r="F742" s="87"/>
      <c r="G742" s="76">
        <f>IFERROR(vlookup(E742,Data!$A$2:$B$4,2,0), 0) + IFERROR(vlookup(F742,Data!$A$2:$B$4,2,0), 0)</f>
        <v>0</v>
      </c>
      <c r="H742" s="79"/>
    </row>
    <row r="743">
      <c r="A743" s="92"/>
      <c r="B743" s="79"/>
      <c r="C743" s="79"/>
      <c r="D743" s="43"/>
      <c r="E743" s="87"/>
      <c r="F743" s="87"/>
      <c r="G743" s="76">
        <f>IFERROR(vlookup(E743,Data!$A$2:$B$4,2,0), 0) + IFERROR(vlookup(F743,Data!$A$2:$B$4,2,0), 0)</f>
        <v>0</v>
      </c>
      <c r="H743" s="79"/>
    </row>
    <row r="744">
      <c r="A744" s="92"/>
      <c r="B744" s="79"/>
      <c r="C744" s="79"/>
      <c r="D744" s="43"/>
      <c r="E744" s="87"/>
      <c r="F744" s="87"/>
      <c r="G744" s="76">
        <f>IFERROR(vlookup(E744,Data!$A$2:$B$4,2,0), 0) + IFERROR(vlookup(F744,Data!$A$2:$B$4,2,0), 0)</f>
        <v>0</v>
      </c>
      <c r="H744" s="79"/>
    </row>
    <row r="745">
      <c r="A745" s="92"/>
      <c r="B745" s="79"/>
      <c r="C745" s="79"/>
      <c r="D745" s="43"/>
      <c r="E745" s="87"/>
      <c r="F745" s="87"/>
      <c r="G745" s="76">
        <f>IFERROR(vlookup(E745,Data!$A$2:$B$4,2,0), 0) + IFERROR(vlookup(F745,Data!$A$2:$B$4,2,0), 0)</f>
        <v>0</v>
      </c>
      <c r="H745" s="79"/>
    </row>
    <row r="746">
      <c r="A746" s="92"/>
      <c r="B746" s="79"/>
      <c r="C746" s="79"/>
      <c r="D746" s="43"/>
      <c r="E746" s="87"/>
      <c r="F746" s="87"/>
      <c r="G746" s="76">
        <f>IFERROR(vlookup(E746,Data!$A$2:$B$4,2,0), 0) + IFERROR(vlookup(F746,Data!$A$2:$B$4,2,0), 0)</f>
        <v>0</v>
      </c>
      <c r="H746" s="79"/>
    </row>
    <row r="747">
      <c r="A747" s="92"/>
      <c r="B747" s="79"/>
      <c r="C747" s="79"/>
      <c r="D747" s="43"/>
      <c r="E747" s="87"/>
      <c r="F747" s="87"/>
      <c r="G747" s="76">
        <f>IFERROR(vlookup(E747,Data!$A$2:$B$4,2,0), 0) + IFERROR(vlookup(F747,Data!$A$2:$B$4,2,0), 0)</f>
        <v>0</v>
      </c>
      <c r="H747" s="79"/>
    </row>
    <row r="748">
      <c r="A748" s="92"/>
      <c r="B748" s="79"/>
      <c r="C748" s="79"/>
      <c r="D748" s="43"/>
      <c r="E748" s="87"/>
      <c r="F748" s="87"/>
      <c r="G748" s="76">
        <f>IFERROR(vlookup(E748,Data!$A$2:$B$4,2,0), 0) + IFERROR(vlookup(F748,Data!$A$2:$B$4,2,0), 0)</f>
        <v>0</v>
      </c>
      <c r="H748" s="79"/>
    </row>
    <row r="749">
      <c r="A749" s="92"/>
      <c r="B749" s="79"/>
      <c r="C749" s="79"/>
      <c r="D749" s="43"/>
      <c r="E749" s="87"/>
      <c r="F749" s="87"/>
      <c r="G749" s="76">
        <f>IFERROR(vlookup(E749,Data!$A$2:$B$4,2,0), 0) + IFERROR(vlookup(F749,Data!$A$2:$B$4,2,0), 0)</f>
        <v>0</v>
      </c>
      <c r="H749" s="79"/>
    </row>
    <row r="750">
      <c r="A750" s="92"/>
      <c r="B750" s="79"/>
      <c r="C750" s="79"/>
      <c r="D750" s="43"/>
      <c r="E750" s="87"/>
      <c r="F750" s="87"/>
      <c r="G750" s="76">
        <f>IFERROR(vlookup(E750,Data!$A$2:$B$4,2,0), 0) + IFERROR(vlookup(F750,Data!$A$2:$B$4,2,0), 0)</f>
        <v>0</v>
      </c>
      <c r="H750" s="79"/>
    </row>
    <row r="751">
      <c r="A751" s="92"/>
      <c r="B751" s="79"/>
      <c r="C751" s="79"/>
      <c r="D751" s="43"/>
      <c r="E751" s="87"/>
      <c r="F751" s="87"/>
      <c r="G751" s="76">
        <f>IFERROR(vlookup(E751,Data!$A$2:$B$4,2,0), 0) + IFERROR(vlookup(F751,Data!$A$2:$B$4,2,0), 0)</f>
        <v>0</v>
      </c>
      <c r="H751" s="79"/>
    </row>
    <row r="752">
      <c r="A752" s="92"/>
      <c r="B752" s="79"/>
      <c r="C752" s="79"/>
      <c r="D752" s="43"/>
      <c r="E752" s="87"/>
      <c r="F752" s="87"/>
      <c r="G752" s="76">
        <f>IFERROR(vlookup(E752,Data!$A$2:$B$4,2,0), 0) + IFERROR(vlookup(F752,Data!$A$2:$B$4,2,0), 0)</f>
        <v>0</v>
      </c>
      <c r="H752" s="79"/>
    </row>
    <row r="753">
      <c r="A753" s="92"/>
      <c r="B753" s="79"/>
      <c r="C753" s="79"/>
      <c r="D753" s="43"/>
      <c r="E753" s="87"/>
      <c r="F753" s="87"/>
      <c r="G753" s="76">
        <f>IFERROR(vlookup(E753,Data!$A$2:$B$4,2,0), 0) + IFERROR(vlookup(F753,Data!$A$2:$B$4,2,0), 0)</f>
        <v>0</v>
      </c>
      <c r="H753" s="79"/>
    </row>
    <row r="754">
      <c r="A754" s="92"/>
      <c r="B754" s="79"/>
      <c r="C754" s="79"/>
      <c r="D754" s="43"/>
      <c r="E754" s="87"/>
      <c r="F754" s="87"/>
      <c r="G754" s="76">
        <f>IFERROR(vlookup(E754,Data!$A$2:$B$4,2,0), 0) + IFERROR(vlookup(F754,Data!$A$2:$B$4,2,0), 0)</f>
        <v>0</v>
      </c>
      <c r="H754" s="79"/>
    </row>
    <row r="755">
      <c r="A755" s="92"/>
      <c r="B755" s="79"/>
      <c r="C755" s="79"/>
      <c r="D755" s="43"/>
      <c r="E755" s="87"/>
      <c r="F755" s="87"/>
      <c r="G755" s="76">
        <f>IFERROR(vlookup(E755,Data!$A$2:$B$4,2,0), 0) + IFERROR(vlookup(F755,Data!$A$2:$B$4,2,0), 0)</f>
        <v>0</v>
      </c>
      <c r="H755" s="79"/>
    </row>
    <row r="756">
      <c r="A756" s="92"/>
      <c r="B756" s="79"/>
      <c r="C756" s="79"/>
      <c r="D756" s="43"/>
      <c r="E756" s="87"/>
      <c r="F756" s="87"/>
      <c r="G756" s="76">
        <f>IFERROR(vlookup(E756,Data!$A$2:$B$4,2,0), 0) + IFERROR(vlookup(F756,Data!$A$2:$B$4,2,0), 0)</f>
        <v>0</v>
      </c>
      <c r="H756" s="79"/>
    </row>
    <row r="757">
      <c r="A757" s="92"/>
      <c r="B757" s="79"/>
      <c r="C757" s="79"/>
      <c r="D757" s="43"/>
      <c r="E757" s="87"/>
      <c r="F757" s="87"/>
      <c r="G757" s="76">
        <f>IFERROR(vlookup(E757,Data!$A$2:$B$4,2,0), 0) + IFERROR(vlookup(F757,Data!$A$2:$B$4,2,0), 0)</f>
        <v>0</v>
      </c>
      <c r="H757" s="79"/>
    </row>
    <row r="758">
      <c r="A758" s="92"/>
      <c r="B758" s="79"/>
      <c r="C758" s="79"/>
      <c r="D758" s="43"/>
      <c r="E758" s="87"/>
      <c r="F758" s="87"/>
      <c r="G758" s="76">
        <f>IFERROR(vlookup(E758,Data!$A$2:$B$4,2,0), 0) + IFERROR(vlookup(F758,Data!$A$2:$B$4,2,0), 0)</f>
        <v>0</v>
      </c>
      <c r="H758" s="79"/>
    </row>
    <row r="759">
      <c r="A759" s="92"/>
      <c r="B759" s="79"/>
      <c r="C759" s="79"/>
      <c r="D759" s="43"/>
      <c r="E759" s="87"/>
      <c r="F759" s="87"/>
      <c r="G759" s="76">
        <f>IFERROR(vlookup(E759,Data!$A$2:$B$4,2,0), 0) + IFERROR(vlookup(F759,Data!$A$2:$B$4,2,0), 0)</f>
        <v>0</v>
      </c>
      <c r="H759" s="79"/>
    </row>
    <row r="760">
      <c r="A760" s="92"/>
      <c r="B760" s="79"/>
      <c r="C760" s="79"/>
      <c r="D760" s="43"/>
      <c r="E760" s="87"/>
      <c r="F760" s="87"/>
      <c r="G760" s="76">
        <f>IFERROR(vlookup(E760,Data!$A$2:$B$4,2,0), 0) + IFERROR(vlookup(F760,Data!$A$2:$B$4,2,0), 0)</f>
        <v>0</v>
      </c>
      <c r="H760" s="79"/>
    </row>
    <row r="761">
      <c r="A761" s="92"/>
      <c r="B761" s="79"/>
      <c r="C761" s="79"/>
      <c r="D761" s="43"/>
      <c r="E761" s="87"/>
      <c r="F761" s="87"/>
      <c r="G761" s="76">
        <f>IFERROR(vlookup(E761,Data!$A$2:$B$4,2,0), 0) + IFERROR(vlookup(F761,Data!$A$2:$B$4,2,0), 0)</f>
        <v>0</v>
      </c>
      <c r="H761" s="79"/>
    </row>
    <row r="762">
      <c r="A762" s="92"/>
      <c r="B762" s="79"/>
      <c r="C762" s="79"/>
      <c r="D762" s="43"/>
      <c r="E762" s="87"/>
      <c r="F762" s="87"/>
      <c r="G762" s="76">
        <f>IFERROR(vlookup(E762,Data!$A$2:$B$4,2,0), 0) + IFERROR(vlookup(F762,Data!$A$2:$B$4,2,0), 0)</f>
        <v>0</v>
      </c>
      <c r="H762" s="79"/>
    </row>
    <row r="763">
      <c r="A763" s="92"/>
      <c r="B763" s="79"/>
      <c r="C763" s="79"/>
      <c r="D763" s="43"/>
      <c r="E763" s="87"/>
      <c r="F763" s="87"/>
      <c r="G763" s="76">
        <f>IFERROR(vlookup(E763,Data!$A$2:$B$4,2,0), 0) + IFERROR(vlookup(F763,Data!$A$2:$B$4,2,0), 0)</f>
        <v>0</v>
      </c>
      <c r="H763" s="79"/>
    </row>
    <row r="764">
      <c r="A764" s="92"/>
      <c r="B764" s="79"/>
      <c r="C764" s="79"/>
      <c r="D764" s="43"/>
      <c r="E764" s="87"/>
      <c r="F764" s="87"/>
      <c r="G764" s="76">
        <f>IFERROR(vlookup(E764,Data!$A$2:$B$4,2,0), 0) + IFERROR(vlookup(F764,Data!$A$2:$B$4,2,0), 0)</f>
        <v>0</v>
      </c>
      <c r="H764" s="79"/>
    </row>
    <row r="765">
      <c r="A765" s="92"/>
      <c r="B765" s="79"/>
      <c r="C765" s="79"/>
      <c r="D765" s="43"/>
      <c r="E765" s="87"/>
      <c r="F765" s="87"/>
      <c r="G765" s="76">
        <f>IFERROR(vlookup(E765,Data!$A$2:$B$4,2,0), 0) + IFERROR(vlookup(F765,Data!$A$2:$B$4,2,0), 0)</f>
        <v>0</v>
      </c>
      <c r="H765" s="79"/>
    </row>
    <row r="766">
      <c r="A766" s="92"/>
      <c r="B766" s="79"/>
      <c r="C766" s="79"/>
      <c r="D766" s="43"/>
      <c r="E766" s="87"/>
      <c r="F766" s="87"/>
      <c r="G766" s="76">
        <f>IFERROR(vlookup(E766,Data!$A$2:$B$4,2,0), 0) + IFERROR(vlookup(F766,Data!$A$2:$B$4,2,0), 0)</f>
        <v>0</v>
      </c>
      <c r="H766" s="79"/>
    </row>
    <row r="767">
      <c r="A767" s="92"/>
      <c r="B767" s="79"/>
      <c r="C767" s="79"/>
      <c r="D767" s="43"/>
      <c r="E767" s="87"/>
      <c r="F767" s="87"/>
      <c r="G767" s="76">
        <f>IFERROR(vlookup(E767,Data!$A$2:$B$4,2,0), 0) + IFERROR(vlookup(F767,Data!$A$2:$B$4,2,0), 0)</f>
        <v>0</v>
      </c>
      <c r="H767" s="79"/>
    </row>
    <row r="768">
      <c r="A768" s="92"/>
      <c r="B768" s="79"/>
      <c r="C768" s="79"/>
      <c r="D768" s="43"/>
      <c r="E768" s="87"/>
      <c r="F768" s="87"/>
      <c r="G768" s="76">
        <f>IFERROR(vlookup(E768,Data!$A$2:$B$4,2,0), 0) + IFERROR(vlookup(F768,Data!$A$2:$B$4,2,0), 0)</f>
        <v>0</v>
      </c>
      <c r="H768" s="79"/>
    </row>
    <row r="769">
      <c r="A769" s="92"/>
      <c r="B769" s="79"/>
      <c r="C769" s="79"/>
      <c r="D769" s="43"/>
      <c r="E769" s="87"/>
      <c r="F769" s="87"/>
      <c r="G769" s="76">
        <f>IFERROR(vlookup(E769,Data!$A$2:$B$4,2,0), 0) + IFERROR(vlookup(F769,Data!$A$2:$B$4,2,0), 0)</f>
        <v>0</v>
      </c>
      <c r="H769" s="79"/>
    </row>
    <row r="770">
      <c r="A770" s="92"/>
      <c r="B770" s="79"/>
      <c r="C770" s="79"/>
      <c r="D770" s="43"/>
      <c r="E770" s="87"/>
      <c r="F770" s="87"/>
      <c r="G770" s="76">
        <f>IFERROR(vlookup(E770,Data!$A$2:$B$4,2,0), 0) + IFERROR(vlookup(F770,Data!$A$2:$B$4,2,0), 0)</f>
        <v>0</v>
      </c>
      <c r="H770" s="79"/>
    </row>
    <row r="771">
      <c r="A771" s="92"/>
      <c r="B771" s="79"/>
      <c r="C771" s="79"/>
      <c r="D771" s="43"/>
      <c r="E771" s="87"/>
      <c r="F771" s="87"/>
      <c r="G771" s="76">
        <f>IFERROR(vlookup(E771,Data!$A$2:$B$4,2,0), 0) + IFERROR(vlookup(F771,Data!$A$2:$B$4,2,0), 0)</f>
        <v>0</v>
      </c>
      <c r="H771" s="79"/>
    </row>
    <row r="772">
      <c r="A772" s="92"/>
      <c r="B772" s="79"/>
      <c r="C772" s="79"/>
      <c r="D772" s="43"/>
      <c r="E772" s="87"/>
      <c r="F772" s="87"/>
      <c r="G772" s="76">
        <f>IFERROR(vlookup(E772,Data!$A$2:$B$4,2,0), 0) + IFERROR(vlookup(F772,Data!$A$2:$B$4,2,0), 0)</f>
        <v>0</v>
      </c>
      <c r="H772" s="79"/>
    </row>
    <row r="773">
      <c r="A773" s="92"/>
      <c r="B773" s="79"/>
      <c r="C773" s="79"/>
      <c r="D773" s="43"/>
      <c r="E773" s="87"/>
      <c r="F773" s="87"/>
      <c r="G773" s="76">
        <f>IFERROR(vlookup(E773,Data!$A$2:$B$4,2,0), 0) + IFERROR(vlookup(F773,Data!$A$2:$B$4,2,0), 0)</f>
        <v>0</v>
      </c>
      <c r="H773" s="79"/>
    </row>
    <row r="774">
      <c r="A774" s="92"/>
      <c r="B774" s="79"/>
      <c r="C774" s="79"/>
      <c r="D774" s="43"/>
      <c r="E774" s="87"/>
      <c r="F774" s="87"/>
      <c r="G774" s="76">
        <f>IFERROR(vlookup(E774,Data!$A$2:$B$4,2,0), 0) + IFERROR(vlookup(F774,Data!$A$2:$B$4,2,0), 0)</f>
        <v>0</v>
      </c>
      <c r="H774" s="79"/>
    </row>
    <row r="775">
      <c r="A775" s="92"/>
      <c r="B775" s="79"/>
      <c r="C775" s="79"/>
      <c r="D775" s="43"/>
      <c r="E775" s="87"/>
      <c r="F775" s="87"/>
      <c r="G775" s="76">
        <f>IFERROR(vlookup(E775,Data!$A$2:$B$4,2,0), 0) + IFERROR(vlookup(F775,Data!$A$2:$B$4,2,0), 0)</f>
        <v>0</v>
      </c>
      <c r="H775" s="79"/>
    </row>
    <row r="776">
      <c r="A776" s="92"/>
      <c r="B776" s="79"/>
      <c r="C776" s="79"/>
      <c r="D776" s="43"/>
      <c r="E776" s="87"/>
      <c r="F776" s="87"/>
      <c r="G776" s="76">
        <f>IFERROR(vlookup(E776,Data!$A$2:$B$4,2,0), 0) + IFERROR(vlookup(F776,Data!$A$2:$B$4,2,0), 0)</f>
        <v>0</v>
      </c>
      <c r="H776" s="79"/>
    </row>
    <row r="777">
      <c r="A777" s="92"/>
      <c r="B777" s="79"/>
      <c r="C777" s="79"/>
      <c r="D777" s="43"/>
      <c r="E777" s="87"/>
      <c r="F777" s="87"/>
      <c r="G777" s="76">
        <f>IFERROR(vlookup(E777,Data!$A$2:$B$4,2,0), 0) + IFERROR(vlookup(F777,Data!$A$2:$B$4,2,0), 0)</f>
        <v>0</v>
      </c>
      <c r="H777" s="79"/>
    </row>
    <row r="778">
      <c r="A778" s="92"/>
      <c r="B778" s="79"/>
      <c r="C778" s="79"/>
      <c r="D778" s="43"/>
      <c r="E778" s="87"/>
      <c r="F778" s="87"/>
      <c r="G778" s="76">
        <f>IFERROR(vlookup(E778,Data!$A$2:$B$4,2,0), 0) + IFERROR(vlookup(F778,Data!$A$2:$B$4,2,0), 0)</f>
        <v>0</v>
      </c>
      <c r="H778" s="79"/>
    </row>
    <row r="779">
      <c r="A779" s="92"/>
      <c r="B779" s="79"/>
      <c r="C779" s="79"/>
      <c r="D779" s="43"/>
      <c r="E779" s="87"/>
      <c r="F779" s="87"/>
      <c r="G779" s="76">
        <f>IFERROR(vlookup(E779,Data!$A$2:$B$4,2,0), 0) + IFERROR(vlookup(F779,Data!$A$2:$B$4,2,0), 0)</f>
        <v>0</v>
      </c>
      <c r="H779" s="79"/>
    </row>
    <row r="780">
      <c r="A780" s="92"/>
      <c r="B780" s="79"/>
      <c r="C780" s="79"/>
      <c r="D780" s="43"/>
      <c r="E780" s="87"/>
      <c r="F780" s="87"/>
      <c r="G780" s="76">
        <f>IFERROR(vlookup(E780,Data!$A$2:$B$4,2,0), 0) + IFERROR(vlookup(F780,Data!$A$2:$B$4,2,0), 0)</f>
        <v>0</v>
      </c>
      <c r="H780" s="79"/>
    </row>
    <row r="781">
      <c r="A781" s="92"/>
      <c r="B781" s="79"/>
      <c r="C781" s="79"/>
      <c r="D781" s="43"/>
      <c r="E781" s="87"/>
      <c r="F781" s="87"/>
      <c r="G781" s="76">
        <f>IFERROR(vlookup(E781,Data!$A$2:$B$4,2,0), 0) + IFERROR(vlookup(F781,Data!$A$2:$B$4,2,0), 0)</f>
        <v>0</v>
      </c>
      <c r="H781" s="79"/>
    </row>
    <row r="782">
      <c r="A782" s="92"/>
      <c r="B782" s="79"/>
      <c r="C782" s="79"/>
      <c r="D782" s="43"/>
      <c r="E782" s="87"/>
      <c r="F782" s="87"/>
      <c r="G782" s="76">
        <f>IFERROR(vlookup(E782,Data!$A$2:$B$4,2,0), 0) + IFERROR(vlookup(F782,Data!$A$2:$B$4,2,0), 0)</f>
        <v>0</v>
      </c>
      <c r="H782" s="79"/>
    </row>
    <row r="783">
      <c r="A783" s="92"/>
      <c r="B783" s="79"/>
      <c r="C783" s="79"/>
      <c r="D783" s="43"/>
      <c r="E783" s="87"/>
      <c r="F783" s="87"/>
      <c r="G783" s="76">
        <f>IFERROR(vlookup(E783,Data!$A$2:$B$4,2,0), 0) + IFERROR(vlookup(F783,Data!$A$2:$B$4,2,0), 0)</f>
        <v>0</v>
      </c>
      <c r="H783" s="79"/>
    </row>
    <row r="784">
      <c r="A784" s="92"/>
      <c r="B784" s="79"/>
      <c r="C784" s="79"/>
      <c r="D784" s="43"/>
      <c r="E784" s="87"/>
      <c r="F784" s="87"/>
      <c r="G784" s="76">
        <f>IFERROR(vlookup(E784,Data!$A$2:$B$4,2,0), 0) + IFERROR(vlookup(F784,Data!$A$2:$B$4,2,0), 0)</f>
        <v>0</v>
      </c>
      <c r="H784" s="79"/>
    </row>
    <row r="785">
      <c r="A785" s="92"/>
      <c r="B785" s="79"/>
      <c r="C785" s="79"/>
      <c r="D785" s="43"/>
      <c r="E785" s="87"/>
      <c r="F785" s="87"/>
      <c r="G785" s="76">
        <f>IFERROR(vlookup(E785,Data!$A$2:$B$4,2,0), 0) + IFERROR(vlookup(F785,Data!$A$2:$B$4,2,0), 0)</f>
        <v>0</v>
      </c>
      <c r="H785" s="79"/>
    </row>
    <row r="786">
      <c r="A786" s="92"/>
      <c r="B786" s="79"/>
      <c r="C786" s="79"/>
      <c r="D786" s="43"/>
      <c r="E786" s="87"/>
      <c r="F786" s="87"/>
      <c r="G786" s="76">
        <f>IFERROR(vlookup(E786,Data!$A$2:$B$4,2,0), 0) + IFERROR(vlookup(F786,Data!$A$2:$B$4,2,0), 0)</f>
        <v>0</v>
      </c>
      <c r="H786" s="79"/>
    </row>
    <row r="787">
      <c r="A787" s="92"/>
      <c r="B787" s="79"/>
      <c r="C787" s="79"/>
      <c r="D787" s="43"/>
      <c r="E787" s="87"/>
      <c r="F787" s="87"/>
      <c r="G787" s="76">
        <f>IFERROR(vlookup(E787,Data!$A$2:$B$4,2,0), 0) + IFERROR(vlookup(F787,Data!$A$2:$B$4,2,0), 0)</f>
        <v>0</v>
      </c>
      <c r="H787" s="79"/>
    </row>
    <row r="788">
      <c r="A788" s="92"/>
      <c r="B788" s="79"/>
      <c r="C788" s="79"/>
      <c r="D788" s="43"/>
      <c r="E788" s="87"/>
      <c r="F788" s="87"/>
      <c r="G788" s="76">
        <f>IFERROR(vlookup(E788,Data!$A$2:$B$4,2,0), 0) + IFERROR(vlookup(F788,Data!$A$2:$B$4,2,0), 0)</f>
        <v>0</v>
      </c>
      <c r="H788" s="79"/>
    </row>
    <row r="789">
      <c r="A789" s="92"/>
      <c r="B789" s="79"/>
      <c r="C789" s="79"/>
      <c r="D789" s="43"/>
      <c r="E789" s="87"/>
      <c r="F789" s="87"/>
      <c r="G789" s="76">
        <f>IFERROR(vlookup(E789,Data!$A$2:$B$4,2,0), 0) + IFERROR(vlookup(F789,Data!$A$2:$B$4,2,0), 0)</f>
        <v>0</v>
      </c>
      <c r="H789" s="79"/>
    </row>
    <row r="790">
      <c r="A790" s="92"/>
      <c r="B790" s="79"/>
      <c r="C790" s="79"/>
      <c r="D790" s="43"/>
      <c r="E790" s="87"/>
      <c r="F790" s="87"/>
      <c r="G790" s="76">
        <f>IFERROR(vlookup(E790,Data!$A$2:$B$4,2,0), 0) + IFERROR(vlookup(F790,Data!$A$2:$B$4,2,0), 0)</f>
        <v>0</v>
      </c>
      <c r="H790" s="79"/>
    </row>
    <row r="791">
      <c r="A791" s="92"/>
      <c r="B791" s="79"/>
      <c r="C791" s="79"/>
      <c r="D791" s="43"/>
      <c r="E791" s="87"/>
      <c r="F791" s="87"/>
      <c r="G791" s="76">
        <f>IFERROR(vlookup(E791,Data!$A$2:$B$4,2,0), 0) + IFERROR(vlookup(F791,Data!$A$2:$B$4,2,0), 0)</f>
        <v>0</v>
      </c>
      <c r="H791" s="79"/>
    </row>
    <row r="792">
      <c r="A792" s="92"/>
      <c r="B792" s="79"/>
      <c r="C792" s="79"/>
      <c r="D792" s="43"/>
      <c r="E792" s="87"/>
      <c r="F792" s="87"/>
      <c r="G792" s="76">
        <f>IFERROR(vlookup(E792,Data!$A$2:$B$4,2,0), 0) + IFERROR(vlookup(F792,Data!$A$2:$B$4,2,0), 0)</f>
        <v>0</v>
      </c>
      <c r="H792" s="79"/>
    </row>
    <row r="793">
      <c r="A793" s="92"/>
      <c r="B793" s="79"/>
      <c r="C793" s="79"/>
      <c r="D793" s="43"/>
      <c r="E793" s="87"/>
      <c r="F793" s="87"/>
      <c r="G793" s="76">
        <f>IFERROR(vlookup(E793,Data!$A$2:$B$4,2,0), 0) + IFERROR(vlookup(F793,Data!$A$2:$B$4,2,0), 0)</f>
        <v>0</v>
      </c>
      <c r="H793" s="79"/>
    </row>
    <row r="794">
      <c r="A794" s="92"/>
      <c r="B794" s="79"/>
      <c r="C794" s="79"/>
      <c r="D794" s="43"/>
      <c r="E794" s="87"/>
      <c r="F794" s="87"/>
      <c r="G794" s="76">
        <f>IFERROR(vlookup(E794,Data!$A$2:$B$4,2,0), 0) + IFERROR(vlookup(F794,Data!$A$2:$B$4,2,0), 0)</f>
        <v>0</v>
      </c>
      <c r="H794" s="79"/>
    </row>
    <row r="795">
      <c r="A795" s="92"/>
      <c r="B795" s="79"/>
      <c r="C795" s="79"/>
      <c r="D795" s="43"/>
      <c r="E795" s="87"/>
      <c r="F795" s="87"/>
      <c r="G795" s="76">
        <f>IFERROR(vlookup(E795,Data!$A$2:$B$4,2,0), 0) + IFERROR(vlookup(F795,Data!$A$2:$B$4,2,0), 0)</f>
        <v>0</v>
      </c>
      <c r="H795" s="79"/>
    </row>
    <row r="796">
      <c r="A796" s="92"/>
      <c r="B796" s="79"/>
      <c r="C796" s="79"/>
      <c r="D796" s="43"/>
      <c r="E796" s="87"/>
      <c r="F796" s="87"/>
      <c r="G796" s="76">
        <f>IFERROR(vlookup(E796,Data!$A$2:$B$4,2,0), 0) + IFERROR(vlookup(F796,Data!$A$2:$B$4,2,0), 0)</f>
        <v>0</v>
      </c>
      <c r="H796" s="79"/>
    </row>
    <row r="797">
      <c r="A797" s="92"/>
      <c r="B797" s="79"/>
      <c r="C797" s="79"/>
      <c r="D797" s="43"/>
      <c r="E797" s="87"/>
      <c r="F797" s="87"/>
      <c r="G797" s="76">
        <f>IFERROR(vlookup(E797,Data!$A$2:$B$4,2,0), 0) + IFERROR(vlookup(F797,Data!$A$2:$B$4,2,0), 0)</f>
        <v>0</v>
      </c>
      <c r="H797" s="79"/>
    </row>
    <row r="798">
      <c r="A798" s="92"/>
      <c r="B798" s="79"/>
      <c r="C798" s="79"/>
      <c r="D798" s="43"/>
      <c r="E798" s="87"/>
      <c r="F798" s="87"/>
      <c r="G798" s="76">
        <f>IFERROR(vlookup(E798,Data!$A$2:$B$4,2,0), 0) + IFERROR(vlookup(F798,Data!$A$2:$B$4,2,0), 0)</f>
        <v>0</v>
      </c>
      <c r="H798" s="79"/>
    </row>
    <row r="799">
      <c r="A799" s="92"/>
      <c r="B799" s="79"/>
      <c r="C799" s="79"/>
      <c r="D799" s="43"/>
      <c r="E799" s="87"/>
      <c r="F799" s="87"/>
      <c r="G799" s="76">
        <f>IFERROR(vlookup(E799,Data!$A$2:$B$4,2,0), 0) + IFERROR(vlookup(F799,Data!$A$2:$B$4,2,0), 0)</f>
        <v>0</v>
      </c>
      <c r="H799" s="79"/>
    </row>
    <row r="800">
      <c r="A800" s="92"/>
      <c r="B800" s="79"/>
      <c r="C800" s="79"/>
      <c r="D800" s="43"/>
      <c r="E800" s="87"/>
      <c r="F800" s="87"/>
      <c r="G800" s="76">
        <f>IFERROR(vlookup(E800,Data!$A$2:$B$4,2,0), 0) + IFERROR(vlookup(F800,Data!$A$2:$B$4,2,0), 0)</f>
        <v>0</v>
      </c>
      <c r="H800" s="79"/>
    </row>
    <row r="801">
      <c r="A801" s="92"/>
      <c r="B801" s="79"/>
      <c r="C801" s="79"/>
      <c r="D801" s="43"/>
      <c r="E801" s="87"/>
      <c r="F801" s="87"/>
      <c r="G801" s="76">
        <f>IFERROR(vlookup(E801,Data!$A$2:$B$4,2,0), 0) + IFERROR(vlookup(F801,Data!$A$2:$B$4,2,0), 0)</f>
        <v>0</v>
      </c>
      <c r="H801" s="79"/>
    </row>
    <row r="802">
      <c r="A802" s="92"/>
      <c r="B802" s="79"/>
      <c r="C802" s="79"/>
      <c r="D802" s="43"/>
      <c r="E802" s="87"/>
      <c r="F802" s="87"/>
      <c r="G802" s="76">
        <f>IFERROR(vlookup(E802,Data!$A$2:$B$4,2,0), 0) + IFERROR(vlookup(F802,Data!$A$2:$B$4,2,0), 0)</f>
        <v>0</v>
      </c>
      <c r="H802" s="79"/>
    </row>
    <row r="803">
      <c r="A803" s="92"/>
      <c r="B803" s="79"/>
      <c r="C803" s="79"/>
      <c r="D803" s="43"/>
      <c r="E803" s="87"/>
      <c r="F803" s="87"/>
      <c r="G803" s="76">
        <f>IFERROR(vlookup(E803,Data!$A$2:$B$4,2,0), 0) + IFERROR(vlookup(F803,Data!$A$2:$B$4,2,0), 0)</f>
        <v>0</v>
      </c>
      <c r="H803" s="79"/>
    </row>
    <row r="804">
      <c r="A804" s="92"/>
      <c r="B804" s="79"/>
      <c r="C804" s="79"/>
      <c r="D804" s="43"/>
      <c r="E804" s="87"/>
      <c r="F804" s="87"/>
      <c r="G804" s="76">
        <f>IFERROR(vlookup(E804,Data!$A$2:$B$4,2,0), 0) + IFERROR(vlookup(F804,Data!$A$2:$B$4,2,0), 0)</f>
        <v>0</v>
      </c>
      <c r="H804" s="79"/>
    </row>
    <row r="805">
      <c r="A805" s="92"/>
      <c r="B805" s="79"/>
      <c r="C805" s="79"/>
      <c r="D805" s="43"/>
      <c r="E805" s="87"/>
      <c r="F805" s="87"/>
      <c r="G805" s="76">
        <f>IFERROR(vlookup(E805,Data!$A$2:$B$4,2,0), 0) + IFERROR(vlookup(F805,Data!$A$2:$B$4,2,0), 0)</f>
        <v>0</v>
      </c>
      <c r="H805" s="79"/>
    </row>
    <row r="806">
      <c r="A806" s="92"/>
      <c r="B806" s="79"/>
      <c r="C806" s="79"/>
      <c r="D806" s="43"/>
      <c r="E806" s="87"/>
      <c r="F806" s="87"/>
      <c r="G806" s="76">
        <f>IFERROR(vlookup(E806,Data!$A$2:$B$4,2,0), 0) + IFERROR(vlookup(F806,Data!$A$2:$B$4,2,0), 0)</f>
        <v>0</v>
      </c>
      <c r="H806" s="79"/>
    </row>
    <row r="807">
      <c r="A807" s="92"/>
      <c r="B807" s="79"/>
      <c r="C807" s="79"/>
      <c r="D807" s="43"/>
      <c r="E807" s="87"/>
      <c r="F807" s="87"/>
      <c r="G807" s="76">
        <f>IFERROR(vlookup(E807,Data!$A$2:$B$4,2,0), 0) + IFERROR(vlookup(F807,Data!$A$2:$B$4,2,0), 0)</f>
        <v>0</v>
      </c>
      <c r="H807" s="79"/>
    </row>
    <row r="808">
      <c r="A808" s="92"/>
      <c r="B808" s="79"/>
      <c r="C808" s="79"/>
      <c r="D808" s="43"/>
      <c r="E808" s="87"/>
      <c r="F808" s="87"/>
      <c r="G808" s="76">
        <f>IFERROR(vlookup(E808,Data!$A$2:$B$4,2,0), 0) + IFERROR(vlookup(F808,Data!$A$2:$B$4,2,0), 0)</f>
        <v>0</v>
      </c>
      <c r="H808" s="79"/>
    </row>
    <row r="809">
      <c r="A809" s="92"/>
      <c r="B809" s="79"/>
      <c r="C809" s="79"/>
      <c r="D809" s="43"/>
      <c r="E809" s="87"/>
      <c r="F809" s="87"/>
      <c r="G809" s="76">
        <f>IFERROR(vlookup(E809,Data!$A$2:$B$4,2,0), 0) + IFERROR(vlookup(F809,Data!$A$2:$B$4,2,0), 0)</f>
        <v>0</v>
      </c>
      <c r="H809" s="79"/>
    </row>
    <row r="810">
      <c r="A810" s="92"/>
      <c r="B810" s="79"/>
      <c r="C810" s="79"/>
      <c r="D810" s="43"/>
      <c r="E810" s="87"/>
      <c r="F810" s="87"/>
      <c r="G810" s="76">
        <f>IFERROR(vlookup(E810,Data!$A$2:$B$4,2,0), 0) + IFERROR(vlookup(F810,Data!$A$2:$B$4,2,0), 0)</f>
        <v>0</v>
      </c>
      <c r="H810" s="79"/>
    </row>
    <row r="811">
      <c r="A811" s="92"/>
      <c r="B811" s="79"/>
      <c r="C811" s="79"/>
      <c r="D811" s="43"/>
      <c r="E811" s="87"/>
      <c r="F811" s="87"/>
      <c r="G811" s="76">
        <f>IFERROR(vlookup(E811,Data!$A$2:$B$4,2,0), 0) + IFERROR(vlookup(F811,Data!$A$2:$B$4,2,0), 0)</f>
        <v>0</v>
      </c>
      <c r="H811" s="79"/>
    </row>
    <row r="812">
      <c r="A812" s="92"/>
      <c r="B812" s="79"/>
      <c r="C812" s="79"/>
      <c r="D812" s="43"/>
      <c r="E812" s="87"/>
      <c r="F812" s="87"/>
      <c r="G812" s="76">
        <f>IFERROR(vlookup(E812,Data!$A$2:$B$4,2,0), 0) + IFERROR(vlookup(F812,Data!$A$2:$B$4,2,0), 0)</f>
        <v>0</v>
      </c>
      <c r="H812" s="79"/>
    </row>
    <row r="813">
      <c r="A813" s="92"/>
      <c r="B813" s="79"/>
      <c r="C813" s="79"/>
      <c r="D813" s="43"/>
      <c r="E813" s="87"/>
      <c r="F813" s="87"/>
      <c r="G813" s="76">
        <f>IFERROR(vlookup(E813,Data!$A$2:$B$4,2,0), 0) + IFERROR(vlookup(F813,Data!$A$2:$B$4,2,0), 0)</f>
        <v>0</v>
      </c>
      <c r="H813" s="79"/>
    </row>
    <row r="814">
      <c r="A814" s="92"/>
      <c r="B814" s="79"/>
      <c r="C814" s="79"/>
      <c r="D814" s="43"/>
      <c r="E814" s="87"/>
      <c r="F814" s="87"/>
      <c r="G814" s="76">
        <f>IFERROR(vlookup(E814,Data!$A$2:$B$4,2,0), 0) + IFERROR(vlookup(F814,Data!$A$2:$B$4,2,0), 0)</f>
        <v>0</v>
      </c>
      <c r="H814" s="79"/>
    </row>
    <row r="815">
      <c r="A815" s="92"/>
      <c r="B815" s="79"/>
      <c r="C815" s="79"/>
      <c r="D815" s="43"/>
      <c r="E815" s="87"/>
      <c r="F815" s="87"/>
      <c r="G815" s="76">
        <f>IFERROR(vlookup(E815,Data!$A$2:$B$4,2,0), 0) + IFERROR(vlookup(F815,Data!$A$2:$B$4,2,0), 0)</f>
        <v>0</v>
      </c>
      <c r="H815" s="79"/>
    </row>
    <row r="816">
      <c r="A816" s="92"/>
      <c r="B816" s="79"/>
      <c r="C816" s="79"/>
      <c r="D816" s="43"/>
      <c r="E816" s="87"/>
      <c r="F816" s="87"/>
      <c r="G816" s="76">
        <f>IFERROR(vlookup(E816,Data!$A$2:$B$4,2,0), 0) + IFERROR(vlookup(F816,Data!$A$2:$B$4,2,0), 0)</f>
        <v>0</v>
      </c>
      <c r="H816" s="79"/>
    </row>
    <row r="817">
      <c r="A817" s="92"/>
      <c r="B817" s="79"/>
      <c r="C817" s="79"/>
      <c r="D817" s="43"/>
      <c r="E817" s="87"/>
      <c r="F817" s="87"/>
      <c r="G817" s="76">
        <f>IFERROR(vlookup(E817,Data!$A$2:$B$4,2,0), 0) + IFERROR(vlookup(F817,Data!$A$2:$B$4,2,0), 0)</f>
        <v>0</v>
      </c>
      <c r="H817" s="79"/>
    </row>
    <row r="818">
      <c r="A818" s="92"/>
      <c r="B818" s="79"/>
      <c r="C818" s="79"/>
      <c r="D818" s="43"/>
      <c r="E818" s="87"/>
      <c r="F818" s="87"/>
      <c r="G818" s="76">
        <f>IFERROR(vlookup(E818,Data!$A$2:$B$4,2,0), 0) + IFERROR(vlookup(F818,Data!$A$2:$B$4,2,0), 0)</f>
        <v>0</v>
      </c>
      <c r="H818" s="79"/>
    </row>
    <row r="819">
      <c r="A819" s="92"/>
      <c r="B819" s="79"/>
      <c r="C819" s="79"/>
      <c r="D819" s="43"/>
      <c r="E819" s="87"/>
      <c r="F819" s="87"/>
      <c r="G819" s="76">
        <f>IFERROR(vlookup(E819,Data!$A$2:$B$4,2,0), 0) + IFERROR(vlookup(F819,Data!$A$2:$B$4,2,0), 0)</f>
        <v>0</v>
      </c>
      <c r="H819" s="79"/>
    </row>
    <row r="820">
      <c r="A820" s="92"/>
      <c r="B820" s="79"/>
      <c r="C820" s="79"/>
      <c r="D820" s="43"/>
      <c r="E820" s="87"/>
      <c r="F820" s="87"/>
      <c r="G820" s="76">
        <f>IFERROR(vlookup(E820,Data!$A$2:$B$4,2,0), 0) + IFERROR(vlookup(F820,Data!$A$2:$B$4,2,0), 0)</f>
        <v>0</v>
      </c>
      <c r="H820" s="79"/>
    </row>
    <row r="821">
      <c r="A821" s="92"/>
      <c r="B821" s="79"/>
      <c r="C821" s="79"/>
      <c r="D821" s="43"/>
      <c r="E821" s="87"/>
      <c r="F821" s="87"/>
      <c r="G821" s="76">
        <f>IFERROR(vlookup(E821,Data!$A$2:$B$4,2,0), 0) + IFERROR(vlookup(F821,Data!$A$2:$B$4,2,0), 0)</f>
        <v>0</v>
      </c>
      <c r="H821" s="79"/>
    </row>
    <row r="822">
      <c r="A822" s="92"/>
      <c r="B822" s="79"/>
      <c r="C822" s="79"/>
      <c r="D822" s="43"/>
      <c r="E822" s="87"/>
      <c r="F822" s="87"/>
      <c r="G822" s="76">
        <f>IFERROR(vlookup(E822,Data!$A$2:$B$4,2,0), 0) + IFERROR(vlookup(F822,Data!$A$2:$B$4,2,0), 0)</f>
        <v>0</v>
      </c>
      <c r="H822" s="79"/>
    </row>
    <row r="823">
      <c r="A823" s="92"/>
      <c r="B823" s="79"/>
      <c r="C823" s="79"/>
      <c r="D823" s="43"/>
      <c r="E823" s="87"/>
      <c r="F823" s="87"/>
      <c r="G823" s="76">
        <f>IFERROR(vlookup(E823,Data!$A$2:$B$4,2,0), 0) + IFERROR(vlookup(F823,Data!$A$2:$B$4,2,0), 0)</f>
        <v>0</v>
      </c>
      <c r="H823" s="79"/>
    </row>
    <row r="824">
      <c r="A824" s="92"/>
      <c r="B824" s="79"/>
      <c r="C824" s="79"/>
      <c r="D824" s="43"/>
      <c r="E824" s="87"/>
      <c r="F824" s="87"/>
      <c r="G824" s="76">
        <f>IFERROR(vlookup(E824,Data!$A$2:$B$4,2,0), 0) + IFERROR(vlookup(F824,Data!$A$2:$B$4,2,0), 0)</f>
        <v>0</v>
      </c>
      <c r="H824" s="79"/>
    </row>
    <row r="825">
      <c r="A825" s="92"/>
      <c r="B825" s="79"/>
      <c r="C825" s="79"/>
      <c r="D825" s="43"/>
      <c r="E825" s="87"/>
      <c r="F825" s="87"/>
      <c r="G825" s="76">
        <f>IFERROR(vlookup(E825,Data!$A$2:$B$4,2,0), 0) + IFERROR(vlookup(F825,Data!$A$2:$B$4,2,0), 0)</f>
        <v>0</v>
      </c>
      <c r="H825" s="79"/>
    </row>
    <row r="826">
      <c r="A826" s="92"/>
      <c r="B826" s="79"/>
      <c r="C826" s="79"/>
      <c r="D826" s="43"/>
      <c r="E826" s="87"/>
      <c r="F826" s="87"/>
      <c r="G826" s="76">
        <f>IFERROR(vlookup(E826,Data!$A$2:$B$4,2,0), 0) + IFERROR(vlookup(F826,Data!$A$2:$B$4,2,0), 0)</f>
        <v>0</v>
      </c>
      <c r="H826" s="79"/>
    </row>
    <row r="827">
      <c r="A827" s="92"/>
      <c r="B827" s="79"/>
      <c r="C827" s="79"/>
      <c r="D827" s="43"/>
      <c r="E827" s="87"/>
      <c r="F827" s="87"/>
      <c r="G827" s="76">
        <f>IFERROR(vlookup(E827,Data!$A$2:$B$4,2,0), 0) + IFERROR(vlookup(F827,Data!$A$2:$B$4,2,0), 0)</f>
        <v>0</v>
      </c>
      <c r="H827" s="79"/>
    </row>
    <row r="828">
      <c r="A828" s="92"/>
      <c r="B828" s="79"/>
      <c r="C828" s="79"/>
      <c r="D828" s="43"/>
      <c r="E828" s="87"/>
      <c r="F828" s="87"/>
      <c r="G828" s="76">
        <f>IFERROR(vlookup(E828,Data!$A$2:$B$4,2,0), 0) + IFERROR(vlookup(F828,Data!$A$2:$B$4,2,0), 0)</f>
        <v>0</v>
      </c>
      <c r="H828" s="79"/>
    </row>
    <row r="829">
      <c r="A829" s="92"/>
      <c r="B829" s="79"/>
      <c r="C829" s="79"/>
      <c r="D829" s="43"/>
      <c r="E829" s="87"/>
      <c r="F829" s="87"/>
      <c r="G829" s="76">
        <f>IFERROR(vlookup(E829,Data!$A$2:$B$4,2,0), 0) + IFERROR(vlookup(F829,Data!$A$2:$B$4,2,0), 0)</f>
        <v>0</v>
      </c>
      <c r="H829" s="79"/>
    </row>
    <row r="830">
      <c r="A830" s="92"/>
      <c r="B830" s="79"/>
      <c r="C830" s="79"/>
      <c r="D830" s="43"/>
      <c r="E830" s="87"/>
      <c r="F830" s="87"/>
      <c r="G830" s="76">
        <f>IFERROR(vlookup(E830,Data!$A$2:$B$4,2,0), 0) + IFERROR(vlookup(F830,Data!$A$2:$B$4,2,0), 0)</f>
        <v>0</v>
      </c>
      <c r="H830" s="79"/>
    </row>
    <row r="831">
      <c r="A831" s="92"/>
      <c r="B831" s="79"/>
      <c r="C831" s="79"/>
      <c r="D831" s="43"/>
      <c r="E831" s="87"/>
      <c r="F831" s="87"/>
      <c r="G831" s="76">
        <f>IFERROR(vlookup(E831,Data!$A$2:$B$4,2,0), 0) + IFERROR(vlookup(F831,Data!$A$2:$B$4,2,0), 0)</f>
        <v>0</v>
      </c>
      <c r="H831" s="79"/>
    </row>
    <row r="832">
      <c r="A832" s="92"/>
      <c r="B832" s="79"/>
      <c r="C832" s="79"/>
      <c r="D832" s="43"/>
      <c r="E832" s="87"/>
      <c r="F832" s="87"/>
      <c r="G832" s="76">
        <f>IFERROR(vlookup(E832,Data!$A$2:$B$4,2,0), 0) + IFERROR(vlookup(F832,Data!$A$2:$B$4,2,0), 0)</f>
        <v>0</v>
      </c>
      <c r="H832" s="79"/>
    </row>
    <row r="833">
      <c r="A833" s="92"/>
      <c r="B833" s="79"/>
      <c r="C833" s="79"/>
      <c r="D833" s="43"/>
      <c r="E833" s="87"/>
      <c r="F833" s="87"/>
      <c r="G833" s="76">
        <f>IFERROR(vlookup(E833,Data!$A$2:$B$4,2,0), 0) + IFERROR(vlookup(F833,Data!$A$2:$B$4,2,0), 0)</f>
        <v>0</v>
      </c>
      <c r="H833" s="79"/>
    </row>
    <row r="834">
      <c r="A834" s="92"/>
      <c r="B834" s="79"/>
      <c r="C834" s="79"/>
      <c r="D834" s="43"/>
      <c r="E834" s="87"/>
      <c r="F834" s="87"/>
      <c r="G834" s="76">
        <f>IFERROR(vlookup(E834,Data!$A$2:$B$4,2,0), 0) + IFERROR(vlookup(F834,Data!$A$2:$B$4,2,0), 0)</f>
        <v>0</v>
      </c>
      <c r="H834" s="79"/>
    </row>
    <row r="835">
      <c r="A835" s="92"/>
      <c r="B835" s="79"/>
      <c r="C835" s="79"/>
      <c r="D835" s="43"/>
      <c r="E835" s="87"/>
      <c r="F835" s="87"/>
      <c r="G835" s="76">
        <f>IFERROR(vlookup(E835,Data!$A$2:$B$4,2,0), 0) + IFERROR(vlookup(F835,Data!$A$2:$B$4,2,0), 0)</f>
        <v>0</v>
      </c>
      <c r="H835" s="79"/>
    </row>
    <row r="836">
      <c r="A836" s="92"/>
      <c r="B836" s="79"/>
      <c r="C836" s="79"/>
      <c r="D836" s="43"/>
      <c r="E836" s="87"/>
      <c r="F836" s="87"/>
      <c r="G836" s="76">
        <f>IFERROR(vlookup(E836,Data!$A$2:$B$4,2,0), 0) + IFERROR(vlookup(F836,Data!$A$2:$B$4,2,0), 0)</f>
        <v>0</v>
      </c>
      <c r="H836" s="79"/>
    </row>
    <row r="837">
      <c r="A837" s="92"/>
      <c r="B837" s="79"/>
      <c r="C837" s="79"/>
      <c r="D837" s="43"/>
      <c r="E837" s="87"/>
      <c r="F837" s="87"/>
      <c r="G837" s="76">
        <f>IFERROR(vlookup(E837,Data!$A$2:$B$4,2,0), 0) + IFERROR(vlookup(F837,Data!$A$2:$B$4,2,0), 0)</f>
        <v>0</v>
      </c>
      <c r="H837" s="79"/>
    </row>
    <row r="838">
      <c r="A838" s="92"/>
      <c r="B838" s="79"/>
      <c r="C838" s="79"/>
      <c r="D838" s="43"/>
      <c r="E838" s="87"/>
      <c r="F838" s="87"/>
      <c r="G838" s="76">
        <f>IFERROR(vlookup(E838,Data!$A$2:$B$4,2,0), 0) + IFERROR(vlookup(F838,Data!$A$2:$B$4,2,0), 0)</f>
        <v>0</v>
      </c>
      <c r="H838" s="79"/>
    </row>
    <row r="839">
      <c r="A839" s="92"/>
      <c r="B839" s="79"/>
      <c r="C839" s="79"/>
      <c r="D839" s="43"/>
      <c r="E839" s="87"/>
      <c r="F839" s="87"/>
      <c r="G839" s="76">
        <f>IFERROR(vlookup(E839,Data!$A$2:$B$4,2,0), 0) + IFERROR(vlookup(F839,Data!$A$2:$B$4,2,0), 0)</f>
        <v>0</v>
      </c>
      <c r="H839" s="79"/>
    </row>
    <row r="840">
      <c r="A840" s="92"/>
      <c r="B840" s="79"/>
      <c r="C840" s="79"/>
      <c r="D840" s="43"/>
      <c r="E840" s="87"/>
      <c r="F840" s="87"/>
      <c r="G840" s="76">
        <f>IFERROR(vlookup(E840,Data!$A$2:$B$4,2,0), 0) + IFERROR(vlookup(F840,Data!$A$2:$B$4,2,0), 0)</f>
        <v>0</v>
      </c>
      <c r="H840" s="79"/>
    </row>
    <row r="841">
      <c r="A841" s="92"/>
      <c r="B841" s="79"/>
      <c r="C841" s="79"/>
      <c r="D841" s="43"/>
      <c r="E841" s="87"/>
      <c r="F841" s="87"/>
      <c r="G841" s="76">
        <f>IFERROR(vlookup(E841,Data!$A$2:$B$4,2,0), 0) + IFERROR(vlookup(F841,Data!$A$2:$B$4,2,0), 0)</f>
        <v>0</v>
      </c>
      <c r="H841" s="79"/>
    </row>
    <row r="842">
      <c r="A842" s="92"/>
      <c r="B842" s="79"/>
      <c r="C842" s="79"/>
      <c r="D842" s="43"/>
      <c r="E842" s="87"/>
      <c r="F842" s="87"/>
      <c r="G842" s="76">
        <f>IFERROR(vlookup(E842,Data!$A$2:$B$4,2,0), 0) + IFERROR(vlookup(F842,Data!$A$2:$B$4,2,0), 0)</f>
        <v>0</v>
      </c>
      <c r="H842" s="79"/>
    </row>
    <row r="843">
      <c r="A843" s="92"/>
      <c r="B843" s="79"/>
      <c r="C843" s="79"/>
      <c r="D843" s="43"/>
      <c r="E843" s="87"/>
      <c r="F843" s="87"/>
      <c r="G843" s="76">
        <f>IFERROR(vlookup(E843,Data!$A$2:$B$4,2,0), 0) + IFERROR(vlookup(F843,Data!$A$2:$B$4,2,0), 0)</f>
        <v>0</v>
      </c>
      <c r="H843" s="79"/>
    </row>
    <row r="844">
      <c r="A844" s="92"/>
      <c r="B844" s="79"/>
      <c r="C844" s="79"/>
      <c r="D844" s="43"/>
      <c r="E844" s="87"/>
      <c r="F844" s="87"/>
      <c r="G844" s="76">
        <f>IFERROR(vlookup(E844,Data!$A$2:$B$4,2,0), 0) + IFERROR(vlookup(F844,Data!$A$2:$B$4,2,0), 0)</f>
        <v>0</v>
      </c>
      <c r="H844" s="79"/>
    </row>
    <row r="845">
      <c r="A845" s="92"/>
      <c r="B845" s="79"/>
      <c r="C845" s="79"/>
      <c r="D845" s="43"/>
      <c r="E845" s="87"/>
      <c r="F845" s="87"/>
      <c r="G845" s="76">
        <f>IFERROR(vlookup(E845,Data!$A$2:$B$4,2,0), 0) + IFERROR(vlookup(F845,Data!$A$2:$B$4,2,0), 0)</f>
        <v>0</v>
      </c>
      <c r="H845" s="79"/>
    </row>
    <row r="846">
      <c r="A846" s="92"/>
      <c r="B846" s="79"/>
      <c r="C846" s="79"/>
      <c r="D846" s="43"/>
      <c r="E846" s="87"/>
      <c r="F846" s="87"/>
      <c r="G846" s="76">
        <f>IFERROR(vlookup(E846,Data!$A$2:$B$4,2,0), 0) + IFERROR(vlookup(F846,Data!$A$2:$B$4,2,0), 0)</f>
        <v>0</v>
      </c>
      <c r="H846" s="79"/>
    </row>
    <row r="847">
      <c r="A847" s="92"/>
      <c r="B847" s="79"/>
      <c r="C847" s="79"/>
      <c r="D847" s="43"/>
      <c r="E847" s="87"/>
      <c r="F847" s="87"/>
      <c r="G847" s="76">
        <f>IFERROR(vlookup(E847,Data!$A$2:$B$4,2,0), 0) + IFERROR(vlookup(F847,Data!$A$2:$B$4,2,0), 0)</f>
        <v>0</v>
      </c>
      <c r="H847" s="79"/>
    </row>
    <row r="848">
      <c r="A848" s="92"/>
      <c r="B848" s="79"/>
      <c r="C848" s="79"/>
      <c r="D848" s="43"/>
      <c r="E848" s="87"/>
      <c r="F848" s="87"/>
      <c r="G848" s="76">
        <f>IFERROR(vlookup(E848,Data!$A$2:$B$4,2,0), 0) + IFERROR(vlookup(F848,Data!$A$2:$B$4,2,0), 0)</f>
        <v>0</v>
      </c>
      <c r="H848" s="79"/>
    </row>
    <row r="849">
      <c r="A849" s="92"/>
      <c r="B849" s="79"/>
      <c r="C849" s="79"/>
      <c r="D849" s="43"/>
      <c r="E849" s="87"/>
      <c r="F849" s="87"/>
      <c r="G849" s="76">
        <f>IFERROR(vlookup(E849,Data!$A$2:$B$4,2,0), 0) + IFERROR(vlookup(F849,Data!$A$2:$B$4,2,0), 0)</f>
        <v>0</v>
      </c>
      <c r="H849" s="79"/>
    </row>
    <row r="850">
      <c r="A850" s="92"/>
      <c r="B850" s="79"/>
      <c r="C850" s="79"/>
      <c r="D850" s="43"/>
      <c r="E850" s="87"/>
      <c r="F850" s="87"/>
      <c r="G850" s="76">
        <f>IFERROR(vlookup(E850,Data!$A$2:$B$4,2,0), 0) + IFERROR(vlookup(F850,Data!$A$2:$B$4,2,0), 0)</f>
        <v>0</v>
      </c>
      <c r="H850" s="79"/>
    </row>
    <row r="851">
      <c r="A851" s="92"/>
      <c r="B851" s="79"/>
      <c r="C851" s="79"/>
      <c r="D851" s="43"/>
      <c r="E851" s="87"/>
      <c r="F851" s="87"/>
      <c r="G851" s="76">
        <f>IFERROR(vlookup(E851,Data!$A$2:$B$4,2,0), 0) + IFERROR(vlookup(F851,Data!$A$2:$B$4,2,0), 0)</f>
        <v>0</v>
      </c>
      <c r="H851" s="79"/>
    </row>
    <row r="852">
      <c r="A852" s="92"/>
      <c r="B852" s="79"/>
      <c r="C852" s="79"/>
      <c r="D852" s="43"/>
      <c r="E852" s="87"/>
      <c r="F852" s="87"/>
      <c r="G852" s="76">
        <f>IFERROR(vlookup(E852,Data!$A$2:$B$4,2,0), 0) + IFERROR(vlookup(F852,Data!$A$2:$B$4,2,0), 0)</f>
        <v>0</v>
      </c>
      <c r="H852" s="79"/>
    </row>
    <row r="853">
      <c r="A853" s="92"/>
      <c r="B853" s="79"/>
      <c r="C853" s="79"/>
      <c r="D853" s="43"/>
      <c r="E853" s="87"/>
      <c r="F853" s="87"/>
      <c r="G853" s="76">
        <f>IFERROR(vlookup(E853,Data!$A$2:$B$4,2,0), 0) + IFERROR(vlookup(F853,Data!$A$2:$B$4,2,0), 0)</f>
        <v>0</v>
      </c>
      <c r="H853" s="79"/>
    </row>
    <row r="854">
      <c r="A854" s="92"/>
      <c r="B854" s="79"/>
      <c r="C854" s="79"/>
      <c r="D854" s="43"/>
      <c r="E854" s="87"/>
      <c r="F854" s="87"/>
      <c r="G854" s="76">
        <f>IFERROR(vlookup(E854,Data!$A$2:$B$4,2,0), 0) + IFERROR(vlookup(F854,Data!$A$2:$B$4,2,0), 0)</f>
        <v>0</v>
      </c>
      <c r="H854" s="79"/>
    </row>
    <row r="855">
      <c r="A855" s="92"/>
      <c r="B855" s="79"/>
      <c r="C855" s="79"/>
      <c r="D855" s="43"/>
      <c r="E855" s="87"/>
      <c r="F855" s="87"/>
      <c r="G855" s="76">
        <f>IFERROR(vlookup(E855,Data!$A$2:$B$4,2,0), 0) + IFERROR(vlookup(F855,Data!$A$2:$B$4,2,0), 0)</f>
        <v>0</v>
      </c>
      <c r="H855" s="79"/>
    </row>
    <row r="856">
      <c r="A856" s="92"/>
      <c r="B856" s="79"/>
      <c r="C856" s="79"/>
      <c r="D856" s="43"/>
      <c r="E856" s="87"/>
      <c r="F856" s="87"/>
      <c r="G856" s="76">
        <f>IFERROR(vlookup(E856,Data!$A$2:$B$4,2,0), 0) + IFERROR(vlookup(F856,Data!$A$2:$B$4,2,0), 0)</f>
        <v>0</v>
      </c>
      <c r="H856" s="79"/>
    </row>
    <row r="857">
      <c r="A857" s="92"/>
      <c r="B857" s="79"/>
      <c r="C857" s="79"/>
      <c r="D857" s="43"/>
      <c r="E857" s="87"/>
      <c r="F857" s="87"/>
      <c r="G857" s="76">
        <f>IFERROR(vlookup(E857,Data!$A$2:$B$4,2,0), 0) + IFERROR(vlookup(F857,Data!$A$2:$B$4,2,0), 0)</f>
        <v>0</v>
      </c>
      <c r="H857" s="79"/>
    </row>
    <row r="858">
      <c r="A858" s="92"/>
      <c r="B858" s="79"/>
      <c r="C858" s="79"/>
      <c r="D858" s="43"/>
      <c r="E858" s="87"/>
      <c r="F858" s="87"/>
      <c r="G858" s="76">
        <f>IFERROR(vlookup(E858,Data!$A$2:$B$4,2,0), 0) + IFERROR(vlookup(F858,Data!$A$2:$B$4,2,0), 0)</f>
        <v>0</v>
      </c>
      <c r="H858" s="79"/>
    </row>
    <row r="859">
      <c r="A859" s="92"/>
      <c r="B859" s="79"/>
      <c r="C859" s="79"/>
      <c r="D859" s="43"/>
      <c r="E859" s="87"/>
      <c r="F859" s="87"/>
      <c r="G859" s="76">
        <f>IFERROR(vlookup(E859,Data!$A$2:$B$4,2,0), 0) + IFERROR(vlookup(F859,Data!$A$2:$B$4,2,0), 0)</f>
        <v>0</v>
      </c>
      <c r="H859" s="79"/>
    </row>
    <row r="860">
      <c r="A860" s="92"/>
      <c r="B860" s="79"/>
      <c r="C860" s="79"/>
      <c r="D860" s="43"/>
      <c r="E860" s="87"/>
      <c r="F860" s="87"/>
      <c r="G860" s="76">
        <f>IFERROR(vlookup(E860,Data!$A$2:$B$4,2,0), 0) + IFERROR(vlookup(F860,Data!$A$2:$B$4,2,0), 0)</f>
        <v>0</v>
      </c>
      <c r="H860" s="79"/>
    </row>
    <row r="861">
      <c r="A861" s="92"/>
      <c r="B861" s="79"/>
      <c r="C861" s="79"/>
      <c r="D861" s="43"/>
      <c r="E861" s="87"/>
      <c r="F861" s="87"/>
      <c r="G861" s="76">
        <f>IFERROR(vlookup(E861,Data!$A$2:$B$4,2,0), 0) + IFERROR(vlookup(F861,Data!$A$2:$B$4,2,0), 0)</f>
        <v>0</v>
      </c>
      <c r="H861" s="79"/>
    </row>
    <row r="862">
      <c r="A862" s="92"/>
      <c r="B862" s="79"/>
      <c r="C862" s="79"/>
      <c r="D862" s="43"/>
      <c r="E862" s="87"/>
      <c r="F862" s="87"/>
      <c r="G862" s="76">
        <f>IFERROR(vlookup(E862,Data!$A$2:$B$4,2,0), 0) + IFERROR(vlookup(F862,Data!$A$2:$B$4,2,0), 0)</f>
        <v>0</v>
      </c>
      <c r="H862" s="79"/>
    </row>
    <row r="863">
      <c r="A863" s="92"/>
      <c r="B863" s="79"/>
      <c r="C863" s="79"/>
      <c r="D863" s="43"/>
      <c r="E863" s="87"/>
      <c r="F863" s="87"/>
      <c r="G863" s="76">
        <f>IFERROR(vlookup(E863,Data!$A$2:$B$4,2,0), 0) + IFERROR(vlookup(F863,Data!$A$2:$B$4,2,0), 0)</f>
        <v>0</v>
      </c>
      <c r="H863" s="79"/>
    </row>
    <row r="864">
      <c r="A864" s="92"/>
      <c r="B864" s="79"/>
      <c r="C864" s="79"/>
      <c r="D864" s="43"/>
      <c r="E864" s="87"/>
      <c r="F864" s="87"/>
      <c r="G864" s="76">
        <f>IFERROR(vlookup(E864,Data!$A$2:$B$4,2,0), 0) + IFERROR(vlookup(F864,Data!$A$2:$B$4,2,0), 0)</f>
        <v>0</v>
      </c>
      <c r="H864" s="79"/>
    </row>
    <row r="865">
      <c r="A865" s="92"/>
      <c r="B865" s="79"/>
      <c r="C865" s="79"/>
      <c r="D865" s="43"/>
      <c r="E865" s="87"/>
      <c r="F865" s="87"/>
      <c r="G865" s="76">
        <f>IFERROR(vlookup(E865,Data!$A$2:$B$4,2,0), 0) + IFERROR(vlookup(F865,Data!$A$2:$B$4,2,0), 0)</f>
        <v>0</v>
      </c>
      <c r="H865" s="79"/>
    </row>
    <row r="866">
      <c r="A866" s="92"/>
      <c r="B866" s="79"/>
      <c r="C866" s="79"/>
      <c r="D866" s="43"/>
      <c r="E866" s="87"/>
      <c r="F866" s="87"/>
      <c r="G866" s="76">
        <f>IFERROR(vlookup(E866,Data!$A$2:$B$4,2,0), 0) + IFERROR(vlookup(F866,Data!$A$2:$B$4,2,0), 0)</f>
        <v>0</v>
      </c>
      <c r="H866" s="79"/>
    </row>
    <row r="867">
      <c r="A867" s="92"/>
      <c r="B867" s="79"/>
      <c r="C867" s="79"/>
      <c r="D867" s="43"/>
      <c r="E867" s="87"/>
      <c r="F867" s="87"/>
      <c r="G867" s="76">
        <f>IFERROR(vlookup(E867,Data!$A$2:$B$4,2,0), 0) + IFERROR(vlookup(F867,Data!$A$2:$B$4,2,0), 0)</f>
        <v>0</v>
      </c>
      <c r="H867" s="79"/>
    </row>
    <row r="868">
      <c r="A868" s="92"/>
      <c r="B868" s="79"/>
      <c r="C868" s="79"/>
      <c r="D868" s="43"/>
      <c r="E868" s="87"/>
      <c r="F868" s="87"/>
      <c r="G868" s="76">
        <f>IFERROR(vlookup(E868,Data!$A$2:$B$4,2,0), 0) + IFERROR(vlookup(F868,Data!$A$2:$B$4,2,0), 0)</f>
        <v>0</v>
      </c>
      <c r="H868" s="79"/>
    </row>
    <row r="869">
      <c r="A869" s="92"/>
      <c r="B869" s="79"/>
      <c r="C869" s="79"/>
      <c r="D869" s="43"/>
      <c r="E869" s="87"/>
      <c r="F869" s="87"/>
      <c r="G869" s="76">
        <f>IFERROR(vlookup(E869,Data!$A$2:$B$4,2,0), 0) + IFERROR(vlookup(F869,Data!$A$2:$B$4,2,0), 0)</f>
        <v>0</v>
      </c>
      <c r="H869" s="79"/>
    </row>
    <row r="870">
      <c r="A870" s="92"/>
      <c r="B870" s="79"/>
      <c r="C870" s="79"/>
      <c r="D870" s="43"/>
      <c r="E870" s="87"/>
      <c r="F870" s="87"/>
      <c r="G870" s="76">
        <f>IFERROR(vlookup(E870,Data!$A$2:$B$4,2,0), 0) + IFERROR(vlookup(F870,Data!$A$2:$B$4,2,0), 0)</f>
        <v>0</v>
      </c>
      <c r="H870" s="79"/>
    </row>
    <row r="871">
      <c r="A871" s="92"/>
      <c r="B871" s="79"/>
      <c r="C871" s="79"/>
      <c r="D871" s="43"/>
      <c r="E871" s="87"/>
      <c r="F871" s="87"/>
      <c r="G871" s="76">
        <f>IFERROR(vlookup(E871,Data!$A$2:$B$4,2,0), 0) + IFERROR(vlookup(F871,Data!$A$2:$B$4,2,0), 0)</f>
        <v>0</v>
      </c>
      <c r="H871" s="79"/>
    </row>
    <row r="872">
      <c r="A872" s="92"/>
      <c r="B872" s="79"/>
      <c r="C872" s="79"/>
      <c r="D872" s="43"/>
      <c r="E872" s="87"/>
      <c r="F872" s="87"/>
      <c r="G872" s="76">
        <f>IFERROR(vlookup(E872,Data!$A$2:$B$4,2,0), 0) + IFERROR(vlookup(F872,Data!$A$2:$B$4,2,0), 0)</f>
        <v>0</v>
      </c>
      <c r="H872" s="79"/>
    </row>
    <row r="873">
      <c r="A873" s="92"/>
      <c r="B873" s="79"/>
      <c r="C873" s="79"/>
      <c r="D873" s="43"/>
      <c r="E873" s="87"/>
      <c r="F873" s="87"/>
      <c r="G873" s="76">
        <f>IFERROR(vlookup(E873,Data!$A$2:$B$4,2,0), 0) + IFERROR(vlookup(F873,Data!$A$2:$B$4,2,0), 0)</f>
        <v>0</v>
      </c>
      <c r="H873" s="79"/>
    </row>
    <row r="874">
      <c r="A874" s="92"/>
      <c r="B874" s="79"/>
      <c r="C874" s="79"/>
      <c r="D874" s="43"/>
      <c r="E874" s="87"/>
      <c r="F874" s="87"/>
      <c r="G874" s="76">
        <f>IFERROR(vlookup(E874,Data!$A$2:$B$4,2,0), 0) + IFERROR(vlookup(F874,Data!$A$2:$B$4,2,0), 0)</f>
        <v>0</v>
      </c>
      <c r="H874" s="79"/>
    </row>
    <row r="875">
      <c r="A875" s="92"/>
      <c r="B875" s="79"/>
      <c r="C875" s="79"/>
      <c r="D875" s="43"/>
      <c r="E875" s="87"/>
      <c r="F875" s="87"/>
      <c r="G875" s="76">
        <f>IFERROR(vlookup(E875,Data!$A$2:$B$4,2,0), 0) + IFERROR(vlookup(F875,Data!$A$2:$B$4,2,0), 0)</f>
        <v>0</v>
      </c>
      <c r="H875" s="79"/>
    </row>
    <row r="876">
      <c r="A876" s="92"/>
      <c r="B876" s="79"/>
      <c r="C876" s="79"/>
      <c r="D876" s="43"/>
      <c r="E876" s="87"/>
      <c r="F876" s="87"/>
      <c r="G876" s="76">
        <f>IFERROR(vlookup(E876,Data!$A$2:$B$4,2,0), 0) + IFERROR(vlookup(F876,Data!$A$2:$B$4,2,0), 0)</f>
        <v>0</v>
      </c>
      <c r="H876" s="79"/>
    </row>
    <row r="877">
      <c r="A877" s="92"/>
      <c r="B877" s="79"/>
      <c r="C877" s="79"/>
      <c r="D877" s="43"/>
      <c r="E877" s="87"/>
      <c r="F877" s="87"/>
      <c r="G877" s="76">
        <f>IFERROR(vlookup(E877,Data!$A$2:$B$4,2,0), 0) + IFERROR(vlookup(F877,Data!$A$2:$B$4,2,0), 0)</f>
        <v>0</v>
      </c>
      <c r="H877" s="79"/>
    </row>
    <row r="878">
      <c r="A878" s="92"/>
      <c r="B878" s="79"/>
      <c r="C878" s="79"/>
      <c r="D878" s="43"/>
      <c r="E878" s="87"/>
      <c r="F878" s="87"/>
      <c r="G878" s="76">
        <f>IFERROR(vlookup(E878,Data!$A$2:$B$4,2,0), 0) + IFERROR(vlookup(F878,Data!$A$2:$B$4,2,0), 0)</f>
        <v>0</v>
      </c>
      <c r="H878" s="79"/>
    </row>
    <row r="879">
      <c r="A879" s="92"/>
      <c r="B879" s="79"/>
      <c r="C879" s="79"/>
      <c r="D879" s="43"/>
      <c r="E879" s="87"/>
      <c r="F879" s="87"/>
      <c r="G879" s="76">
        <f>IFERROR(vlookup(E879,Data!$A$2:$B$4,2,0), 0) + IFERROR(vlookup(F879,Data!$A$2:$B$4,2,0), 0)</f>
        <v>0</v>
      </c>
      <c r="H879" s="79"/>
    </row>
    <row r="880">
      <c r="A880" s="92"/>
      <c r="B880" s="79"/>
      <c r="C880" s="79"/>
      <c r="D880" s="43"/>
      <c r="E880" s="87"/>
      <c r="F880" s="87"/>
      <c r="G880" s="76">
        <f>IFERROR(vlookup(E880,Data!$A$2:$B$4,2,0), 0) + IFERROR(vlookup(F880,Data!$A$2:$B$4,2,0), 0)</f>
        <v>0</v>
      </c>
      <c r="H880" s="79"/>
    </row>
    <row r="881">
      <c r="A881" s="92"/>
      <c r="B881" s="79"/>
      <c r="C881" s="79"/>
      <c r="D881" s="43"/>
      <c r="E881" s="87"/>
      <c r="F881" s="87"/>
      <c r="G881" s="76">
        <f>IFERROR(vlookup(E881,Data!$A$2:$B$4,2,0), 0) + IFERROR(vlookup(F881,Data!$A$2:$B$4,2,0), 0)</f>
        <v>0</v>
      </c>
      <c r="H881" s="79"/>
    </row>
    <row r="882">
      <c r="A882" s="92"/>
      <c r="B882" s="79"/>
      <c r="C882" s="79"/>
      <c r="D882" s="43"/>
      <c r="E882" s="87"/>
      <c r="F882" s="87"/>
      <c r="G882" s="76">
        <f>IFERROR(vlookup(E882,Data!$A$2:$B$4,2,0), 0) + IFERROR(vlookup(F882,Data!$A$2:$B$4,2,0), 0)</f>
        <v>0</v>
      </c>
      <c r="H882" s="79"/>
    </row>
    <row r="883">
      <c r="A883" s="92"/>
      <c r="B883" s="79"/>
      <c r="C883" s="79"/>
      <c r="D883" s="43"/>
      <c r="E883" s="87"/>
      <c r="F883" s="87"/>
      <c r="G883" s="76">
        <f>IFERROR(vlookup(E883,Data!$A$2:$B$4,2,0), 0) + IFERROR(vlookup(F883,Data!$A$2:$B$4,2,0), 0)</f>
        <v>0</v>
      </c>
      <c r="H883" s="79"/>
    </row>
    <row r="884">
      <c r="A884" s="92"/>
      <c r="B884" s="79"/>
      <c r="C884" s="79"/>
      <c r="D884" s="43"/>
      <c r="E884" s="87"/>
      <c r="F884" s="87"/>
      <c r="G884" s="76">
        <f>IFERROR(vlookup(E884,Data!$A$2:$B$4,2,0), 0) + IFERROR(vlookup(F884,Data!$A$2:$B$4,2,0), 0)</f>
        <v>0</v>
      </c>
      <c r="H884" s="79"/>
    </row>
    <row r="885">
      <c r="A885" s="92"/>
      <c r="B885" s="79"/>
      <c r="C885" s="79"/>
      <c r="D885" s="43"/>
      <c r="E885" s="87"/>
      <c r="F885" s="87"/>
      <c r="G885" s="76">
        <f>IFERROR(vlookup(E885,Data!$A$2:$B$4,2,0), 0) + IFERROR(vlookup(F885,Data!$A$2:$B$4,2,0), 0)</f>
        <v>0</v>
      </c>
      <c r="H885" s="79"/>
    </row>
    <row r="886">
      <c r="A886" s="92"/>
      <c r="B886" s="79"/>
      <c r="C886" s="79"/>
      <c r="D886" s="43"/>
      <c r="E886" s="87"/>
      <c r="F886" s="87"/>
      <c r="G886" s="76">
        <f>IFERROR(vlookup(E886,Data!$A$2:$B$4,2,0), 0) + IFERROR(vlookup(F886,Data!$A$2:$B$4,2,0), 0)</f>
        <v>0</v>
      </c>
      <c r="H886" s="79"/>
    </row>
    <row r="887">
      <c r="A887" s="92"/>
      <c r="B887" s="79"/>
      <c r="C887" s="79"/>
      <c r="D887" s="43"/>
      <c r="E887" s="87"/>
      <c r="F887" s="87"/>
      <c r="G887" s="76">
        <f>IFERROR(vlookup(E887,Data!$A$2:$B$4,2,0), 0) + IFERROR(vlookup(F887,Data!$A$2:$B$4,2,0), 0)</f>
        <v>0</v>
      </c>
      <c r="H887" s="79"/>
    </row>
    <row r="888">
      <c r="A888" s="92"/>
      <c r="B888" s="79"/>
      <c r="C888" s="79"/>
      <c r="D888" s="43"/>
      <c r="E888" s="87"/>
      <c r="F888" s="87"/>
      <c r="G888" s="76">
        <f>IFERROR(vlookup(E888,Data!$A$2:$B$4,2,0), 0) + IFERROR(vlookup(F888,Data!$A$2:$B$4,2,0), 0)</f>
        <v>0</v>
      </c>
      <c r="H888" s="79"/>
    </row>
    <row r="889">
      <c r="A889" s="92"/>
      <c r="B889" s="79"/>
      <c r="C889" s="79"/>
      <c r="D889" s="43"/>
      <c r="E889" s="87"/>
      <c r="F889" s="87"/>
      <c r="G889" s="76">
        <f>IFERROR(vlookup(E889,Data!$A$2:$B$4,2,0), 0) + IFERROR(vlookup(F889,Data!$A$2:$B$4,2,0), 0)</f>
        <v>0</v>
      </c>
      <c r="H889" s="79"/>
    </row>
    <row r="890">
      <c r="A890" s="92"/>
      <c r="B890" s="79"/>
      <c r="C890" s="79"/>
      <c r="D890" s="43"/>
      <c r="E890" s="87"/>
      <c r="F890" s="87"/>
      <c r="G890" s="76">
        <f>IFERROR(vlookup(E890,Data!$A$2:$B$4,2,0), 0) + IFERROR(vlookup(F890,Data!$A$2:$B$4,2,0), 0)</f>
        <v>0</v>
      </c>
      <c r="H890" s="79"/>
    </row>
    <row r="891">
      <c r="A891" s="92"/>
      <c r="B891" s="79"/>
      <c r="C891" s="79"/>
      <c r="D891" s="43"/>
      <c r="E891" s="87"/>
      <c r="F891" s="87"/>
      <c r="G891" s="76">
        <f>IFERROR(vlookup(E891,Data!$A$2:$B$4,2,0), 0) + IFERROR(vlookup(F891,Data!$A$2:$B$4,2,0), 0)</f>
        <v>0</v>
      </c>
      <c r="H891" s="79"/>
    </row>
    <row r="892">
      <c r="A892" s="92"/>
      <c r="B892" s="79"/>
      <c r="C892" s="79"/>
      <c r="D892" s="43"/>
      <c r="E892" s="87"/>
      <c r="F892" s="87"/>
      <c r="G892" s="76">
        <f>IFERROR(vlookup(E892,Data!$A$2:$B$4,2,0), 0) + IFERROR(vlookup(F892,Data!$A$2:$B$4,2,0), 0)</f>
        <v>0</v>
      </c>
      <c r="H892" s="79"/>
    </row>
    <row r="893">
      <c r="A893" s="92"/>
      <c r="B893" s="79"/>
      <c r="C893" s="79"/>
      <c r="D893" s="43"/>
      <c r="E893" s="87"/>
      <c r="F893" s="87"/>
      <c r="G893" s="76">
        <f>IFERROR(vlookup(E893,Data!$A$2:$B$4,2,0), 0) + IFERROR(vlookup(F893,Data!$A$2:$B$4,2,0), 0)</f>
        <v>0</v>
      </c>
      <c r="H893" s="79"/>
    </row>
    <row r="894">
      <c r="A894" s="92"/>
      <c r="B894" s="79"/>
      <c r="C894" s="79"/>
      <c r="D894" s="43"/>
      <c r="E894" s="87"/>
      <c r="F894" s="87"/>
      <c r="G894" s="76">
        <f>IFERROR(vlookup(E894,Data!$A$2:$B$4,2,0), 0) + IFERROR(vlookup(F894,Data!$A$2:$B$4,2,0), 0)</f>
        <v>0</v>
      </c>
      <c r="H894" s="79"/>
    </row>
    <row r="895">
      <c r="A895" s="92"/>
      <c r="B895" s="79"/>
      <c r="C895" s="79"/>
      <c r="D895" s="43"/>
      <c r="E895" s="87"/>
      <c r="F895" s="87"/>
      <c r="G895" s="76">
        <f>IFERROR(vlookup(E895,Data!$A$2:$B$4,2,0), 0) + IFERROR(vlookup(F895,Data!$A$2:$B$4,2,0), 0)</f>
        <v>0</v>
      </c>
      <c r="H895" s="79"/>
    </row>
    <row r="896">
      <c r="A896" s="92"/>
      <c r="B896" s="79"/>
      <c r="C896" s="79"/>
      <c r="D896" s="43"/>
      <c r="E896" s="87"/>
      <c r="F896" s="87"/>
      <c r="G896" s="76">
        <f>IFERROR(vlookup(E896,Data!$A$2:$B$4,2,0), 0) + IFERROR(vlookup(F896,Data!$A$2:$B$4,2,0), 0)</f>
        <v>0</v>
      </c>
      <c r="H896" s="79"/>
    </row>
    <row r="897">
      <c r="A897" s="92"/>
      <c r="B897" s="79"/>
      <c r="C897" s="79"/>
      <c r="D897" s="43"/>
      <c r="E897" s="87"/>
      <c r="F897" s="87"/>
      <c r="G897" s="76">
        <f>IFERROR(vlookup(E897,Data!$A$2:$B$4,2,0), 0) + IFERROR(vlookup(F897,Data!$A$2:$B$4,2,0), 0)</f>
        <v>0</v>
      </c>
      <c r="H897" s="79"/>
    </row>
    <row r="898">
      <c r="A898" s="92"/>
      <c r="B898" s="79"/>
      <c r="C898" s="79"/>
      <c r="D898" s="43"/>
      <c r="E898" s="87"/>
      <c r="F898" s="87"/>
      <c r="G898" s="76">
        <f>IFERROR(vlookup(E898,Data!$A$2:$B$4,2,0), 0) + IFERROR(vlookup(F898,Data!$A$2:$B$4,2,0), 0)</f>
        <v>0</v>
      </c>
      <c r="H898" s="79"/>
    </row>
    <row r="899">
      <c r="A899" s="92"/>
      <c r="B899" s="79"/>
      <c r="C899" s="79"/>
      <c r="D899" s="43"/>
      <c r="E899" s="87"/>
      <c r="F899" s="87"/>
      <c r="G899" s="76">
        <f>IFERROR(vlookup(E899,Data!$A$2:$B$4,2,0), 0) + IFERROR(vlookup(F899,Data!$A$2:$B$4,2,0), 0)</f>
        <v>0</v>
      </c>
      <c r="H899" s="79"/>
    </row>
    <row r="900">
      <c r="A900" s="92"/>
      <c r="B900" s="79"/>
      <c r="C900" s="79"/>
      <c r="D900" s="43"/>
      <c r="E900" s="87"/>
      <c r="F900" s="87"/>
      <c r="G900" s="76">
        <f>IFERROR(vlookup(E900,Data!$A$2:$B$4,2,0), 0) + IFERROR(vlookup(F900,Data!$A$2:$B$4,2,0), 0)</f>
        <v>0</v>
      </c>
      <c r="H900" s="79"/>
    </row>
    <row r="901">
      <c r="A901" s="92"/>
      <c r="B901" s="79"/>
      <c r="C901" s="79"/>
      <c r="D901" s="43"/>
      <c r="E901" s="87"/>
      <c r="F901" s="87"/>
      <c r="G901" s="76">
        <f>IFERROR(vlookup(E901,Data!$A$2:$B$4,2,0), 0) + IFERROR(vlookup(F901,Data!$A$2:$B$4,2,0), 0)</f>
        <v>0</v>
      </c>
      <c r="H901" s="79"/>
    </row>
    <row r="902">
      <c r="A902" s="92"/>
      <c r="B902" s="79"/>
      <c r="C902" s="79"/>
      <c r="D902" s="43"/>
      <c r="E902" s="87"/>
      <c r="F902" s="87"/>
      <c r="G902" s="76">
        <f>IFERROR(vlookup(E902,Data!$A$2:$B$4,2,0), 0) + IFERROR(vlookup(F902,Data!$A$2:$B$4,2,0), 0)</f>
        <v>0</v>
      </c>
      <c r="H902" s="79"/>
    </row>
    <row r="903">
      <c r="A903" s="92"/>
      <c r="B903" s="79"/>
      <c r="C903" s="79"/>
      <c r="D903" s="43"/>
      <c r="E903" s="87"/>
      <c r="F903" s="87"/>
      <c r="G903" s="76">
        <f>IFERROR(vlookup(E903,Data!$A$2:$B$4,2,0), 0) + IFERROR(vlookup(F903,Data!$A$2:$B$4,2,0), 0)</f>
        <v>0</v>
      </c>
      <c r="H903" s="79"/>
    </row>
    <row r="904">
      <c r="A904" s="92"/>
      <c r="B904" s="79"/>
      <c r="C904" s="79"/>
      <c r="D904" s="43"/>
      <c r="E904" s="87"/>
      <c r="F904" s="87"/>
      <c r="G904" s="76">
        <f>IFERROR(vlookup(E904,Data!$A$2:$B$4,2,0), 0) + IFERROR(vlookup(F904,Data!$A$2:$B$4,2,0), 0)</f>
        <v>0</v>
      </c>
      <c r="H904" s="79"/>
    </row>
    <row r="905">
      <c r="A905" s="92"/>
      <c r="B905" s="79"/>
      <c r="C905" s="79"/>
      <c r="D905" s="43"/>
      <c r="E905" s="87"/>
      <c r="F905" s="87"/>
      <c r="G905" s="76">
        <f>IFERROR(vlookup(E905,Data!$A$2:$B$4,2,0), 0) + IFERROR(vlookup(F905,Data!$A$2:$B$4,2,0), 0)</f>
        <v>0</v>
      </c>
      <c r="H905" s="79"/>
    </row>
    <row r="906">
      <c r="A906" s="92"/>
      <c r="B906" s="79"/>
      <c r="C906" s="79"/>
      <c r="D906" s="43"/>
      <c r="E906" s="87"/>
      <c r="F906" s="87"/>
      <c r="G906" s="76">
        <f>IFERROR(vlookup(E906,Data!$A$2:$B$4,2,0), 0) + IFERROR(vlookup(F906,Data!$A$2:$B$4,2,0), 0)</f>
        <v>0</v>
      </c>
      <c r="H906" s="79"/>
    </row>
    <row r="907">
      <c r="A907" s="92"/>
      <c r="B907" s="79"/>
      <c r="C907" s="79"/>
      <c r="D907" s="43"/>
      <c r="E907" s="87"/>
      <c r="F907" s="87"/>
      <c r="G907" s="76">
        <f>IFERROR(vlookup(E907,Data!$A$2:$B$4,2,0), 0) + IFERROR(vlookup(F907,Data!$A$2:$B$4,2,0), 0)</f>
        <v>0</v>
      </c>
      <c r="H907" s="79"/>
    </row>
    <row r="908">
      <c r="A908" s="92"/>
      <c r="B908" s="79"/>
      <c r="C908" s="79"/>
      <c r="D908" s="43"/>
      <c r="E908" s="87"/>
      <c r="F908" s="87"/>
      <c r="G908" s="76">
        <f>IFERROR(vlookup(E908,Data!$A$2:$B$4,2,0), 0) + IFERROR(vlookup(F908,Data!$A$2:$B$4,2,0), 0)</f>
        <v>0</v>
      </c>
      <c r="H908" s="79"/>
    </row>
    <row r="909">
      <c r="A909" s="92"/>
      <c r="B909" s="79"/>
      <c r="C909" s="79"/>
      <c r="D909" s="43"/>
      <c r="E909" s="87"/>
      <c r="F909" s="87"/>
      <c r="G909" s="76">
        <f>IFERROR(vlookup(E909,Data!$A$2:$B$4,2,0), 0) + IFERROR(vlookup(F909,Data!$A$2:$B$4,2,0), 0)</f>
        <v>0</v>
      </c>
      <c r="H909" s="79"/>
    </row>
    <row r="910">
      <c r="A910" s="92"/>
      <c r="B910" s="79"/>
      <c r="C910" s="79"/>
      <c r="D910" s="43"/>
      <c r="E910" s="87"/>
      <c r="F910" s="87"/>
      <c r="G910" s="76">
        <f>IFERROR(vlookup(E910,Data!$A$2:$B$4,2,0), 0) + IFERROR(vlookup(F910,Data!$A$2:$B$4,2,0), 0)</f>
        <v>0</v>
      </c>
      <c r="H910" s="79"/>
    </row>
    <row r="911">
      <c r="A911" s="92"/>
      <c r="B911" s="79"/>
      <c r="C911" s="79"/>
      <c r="D911" s="43"/>
      <c r="E911" s="87"/>
      <c r="F911" s="87"/>
      <c r="G911" s="76">
        <f>IFERROR(vlookup(E911,Data!$A$2:$B$4,2,0), 0) + IFERROR(vlookup(F911,Data!$A$2:$B$4,2,0), 0)</f>
        <v>0</v>
      </c>
      <c r="H911" s="79"/>
    </row>
    <row r="912">
      <c r="A912" s="92"/>
      <c r="B912" s="79"/>
      <c r="C912" s="79"/>
      <c r="D912" s="43"/>
      <c r="E912" s="87"/>
      <c r="F912" s="87"/>
      <c r="G912" s="76">
        <f>IFERROR(vlookup(E912,Data!$A$2:$B$4,2,0), 0) + IFERROR(vlookup(F912,Data!$A$2:$B$4,2,0), 0)</f>
        <v>0</v>
      </c>
      <c r="H912" s="79"/>
    </row>
    <row r="913">
      <c r="A913" s="92"/>
      <c r="B913" s="79"/>
      <c r="C913" s="79"/>
      <c r="D913" s="43"/>
      <c r="E913" s="87"/>
      <c r="F913" s="87"/>
      <c r="G913" s="76">
        <f>IFERROR(vlookup(E913,Data!$A$2:$B$4,2,0), 0) + IFERROR(vlookup(F913,Data!$A$2:$B$4,2,0), 0)</f>
        <v>0</v>
      </c>
      <c r="H913" s="79"/>
    </row>
    <row r="914">
      <c r="A914" s="92"/>
      <c r="B914" s="79"/>
      <c r="C914" s="79"/>
      <c r="D914" s="43"/>
      <c r="E914" s="87"/>
      <c r="F914" s="87"/>
      <c r="G914" s="76">
        <f>IFERROR(vlookup(E914,Data!$A$2:$B$4,2,0), 0) + IFERROR(vlookup(F914,Data!$A$2:$B$4,2,0), 0)</f>
        <v>0</v>
      </c>
      <c r="H914" s="79"/>
    </row>
    <row r="915">
      <c r="A915" s="92"/>
      <c r="B915" s="79"/>
      <c r="C915" s="79"/>
      <c r="D915" s="43"/>
      <c r="E915" s="87"/>
      <c r="F915" s="87"/>
      <c r="G915" s="76">
        <f>IFERROR(vlookup(E915,Data!$A$2:$B$4,2,0), 0) + IFERROR(vlookup(F915,Data!$A$2:$B$4,2,0), 0)</f>
        <v>0</v>
      </c>
      <c r="H915" s="79"/>
    </row>
    <row r="916">
      <c r="A916" s="92"/>
      <c r="B916" s="79"/>
      <c r="C916" s="79"/>
      <c r="D916" s="43"/>
      <c r="E916" s="87"/>
      <c r="F916" s="87"/>
      <c r="G916" s="76">
        <f>IFERROR(vlookup(E916,Data!$A$2:$B$4,2,0), 0) + IFERROR(vlookup(F916,Data!$A$2:$B$4,2,0), 0)</f>
        <v>0</v>
      </c>
      <c r="H916" s="79"/>
    </row>
    <row r="917">
      <c r="A917" s="92"/>
      <c r="B917" s="79"/>
      <c r="C917" s="79"/>
      <c r="D917" s="43"/>
      <c r="E917" s="87"/>
      <c r="F917" s="87"/>
      <c r="G917" s="76">
        <f>IFERROR(vlookup(E917,Data!$A$2:$B$4,2,0), 0) + IFERROR(vlookup(F917,Data!$A$2:$B$4,2,0), 0)</f>
        <v>0</v>
      </c>
      <c r="H917" s="79"/>
    </row>
    <row r="918">
      <c r="A918" s="92"/>
      <c r="B918" s="79"/>
      <c r="C918" s="79"/>
      <c r="D918" s="43"/>
      <c r="E918" s="87"/>
      <c r="F918" s="87"/>
      <c r="G918" s="76">
        <f>IFERROR(vlookup(E918,Data!$A$2:$B$4,2,0), 0) + IFERROR(vlookup(F918,Data!$A$2:$B$4,2,0), 0)</f>
        <v>0</v>
      </c>
      <c r="H918" s="79"/>
    </row>
    <row r="919">
      <c r="A919" s="92"/>
      <c r="B919" s="79"/>
      <c r="C919" s="79"/>
      <c r="D919" s="43"/>
      <c r="E919" s="87"/>
      <c r="F919" s="87"/>
      <c r="G919" s="76">
        <f>IFERROR(vlookup(E919,Data!$A$2:$B$4,2,0), 0) + IFERROR(vlookup(F919,Data!$A$2:$B$4,2,0), 0)</f>
        <v>0</v>
      </c>
      <c r="H919" s="79"/>
    </row>
    <row r="920">
      <c r="A920" s="92"/>
      <c r="B920" s="79"/>
      <c r="C920" s="79"/>
      <c r="D920" s="43"/>
      <c r="E920" s="87"/>
      <c r="F920" s="87"/>
      <c r="G920" s="76">
        <f>IFERROR(vlookup(E920,Data!$A$2:$B$4,2,0), 0) + IFERROR(vlookup(F920,Data!$A$2:$B$4,2,0), 0)</f>
        <v>0</v>
      </c>
      <c r="H920" s="79"/>
    </row>
    <row r="921">
      <c r="A921" s="92"/>
      <c r="B921" s="79"/>
      <c r="C921" s="79"/>
      <c r="D921" s="43"/>
      <c r="E921" s="87"/>
      <c r="F921" s="87"/>
      <c r="G921" s="76">
        <f>IFERROR(vlookup(E921,Data!$A$2:$B$4,2,0), 0) + IFERROR(vlookup(F921,Data!$A$2:$B$4,2,0), 0)</f>
        <v>0</v>
      </c>
      <c r="H921" s="79"/>
    </row>
    <row r="922">
      <c r="A922" s="92"/>
      <c r="B922" s="79"/>
      <c r="C922" s="79"/>
      <c r="D922" s="43"/>
      <c r="E922" s="87"/>
      <c r="F922" s="87"/>
      <c r="G922" s="76">
        <f>IFERROR(vlookup(E922,Data!$A$2:$B$4,2,0), 0) + IFERROR(vlookup(F922,Data!$A$2:$B$4,2,0), 0)</f>
        <v>0</v>
      </c>
      <c r="H922" s="79"/>
    </row>
    <row r="923">
      <c r="A923" s="92"/>
      <c r="B923" s="79"/>
      <c r="C923" s="79"/>
      <c r="D923" s="43"/>
      <c r="E923" s="87"/>
      <c r="F923" s="87"/>
      <c r="G923" s="76">
        <f>IFERROR(vlookup(E923,Data!$A$2:$B$4,2,0), 0) + IFERROR(vlookup(F923,Data!$A$2:$B$4,2,0), 0)</f>
        <v>0</v>
      </c>
      <c r="H923" s="79"/>
    </row>
    <row r="924">
      <c r="A924" s="92"/>
      <c r="B924" s="79"/>
      <c r="C924" s="79"/>
      <c r="D924" s="43"/>
      <c r="E924" s="87"/>
      <c r="F924" s="87"/>
      <c r="G924" s="76">
        <f>IFERROR(vlookup(E924,Data!$A$2:$B$4,2,0), 0) + IFERROR(vlookup(F924,Data!$A$2:$B$4,2,0), 0)</f>
        <v>0</v>
      </c>
      <c r="H924" s="79"/>
    </row>
    <row r="925">
      <c r="A925" s="92"/>
      <c r="B925" s="79"/>
      <c r="C925" s="79"/>
      <c r="D925" s="43"/>
      <c r="E925" s="87"/>
      <c r="F925" s="87"/>
      <c r="G925" s="76">
        <f>IFERROR(vlookup(E925,Data!$A$2:$B$4,2,0), 0) + IFERROR(vlookup(F925,Data!$A$2:$B$4,2,0), 0)</f>
        <v>0</v>
      </c>
      <c r="H925" s="79"/>
    </row>
    <row r="926">
      <c r="A926" s="92"/>
      <c r="B926" s="79"/>
      <c r="C926" s="79"/>
      <c r="D926" s="43"/>
      <c r="E926" s="87"/>
      <c r="F926" s="87"/>
      <c r="G926" s="76">
        <f>IFERROR(vlookup(E926,Data!$A$2:$B$4,2,0), 0) + IFERROR(vlookup(F926,Data!$A$2:$B$4,2,0), 0)</f>
        <v>0</v>
      </c>
      <c r="H926" s="79"/>
    </row>
    <row r="927">
      <c r="A927" s="92"/>
      <c r="B927" s="79"/>
      <c r="C927" s="79"/>
      <c r="D927" s="43"/>
      <c r="E927" s="87"/>
      <c r="F927" s="87"/>
      <c r="G927" s="76">
        <f>IFERROR(vlookup(E927,Data!$A$2:$B$4,2,0), 0) + IFERROR(vlookup(F927,Data!$A$2:$B$4,2,0), 0)</f>
        <v>0</v>
      </c>
      <c r="H927" s="79"/>
    </row>
    <row r="928">
      <c r="A928" s="92"/>
      <c r="B928" s="79"/>
      <c r="C928" s="79"/>
      <c r="D928" s="43"/>
      <c r="E928" s="87"/>
      <c r="F928" s="87"/>
      <c r="G928" s="76">
        <f>IFERROR(vlookup(E928,Data!$A$2:$B$4,2,0), 0) + IFERROR(vlookup(F928,Data!$A$2:$B$4,2,0), 0)</f>
        <v>0</v>
      </c>
      <c r="H928" s="79"/>
    </row>
    <row r="929">
      <c r="A929" s="92"/>
      <c r="B929" s="79"/>
      <c r="C929" s="79"/>
      <c r="D929" s="43"/>
      <c r="E929" s="87"/>
      <c r="F929" s="87"/>
      <c r="G929" s="76">
        <f>IFERROR(vlookup(E929,Data!$A$2:$B$4,2,0), 0) + IFERROR(vlookup(F929,Data!$A$2:$B$4,2,0), 0)</f>
        <v>0</v>
      </c>
      <c r="H929" s="79"/>
    </row>
    <row r="930">
      <c r="A930" s="92"/>
      <c r="B930" s="79"/>
      <c r="C930" s="79"/>
      <c r="D930" s="43"/>
      <c r="E930" s="87"/>
      <c r="F930" s="87"/>
      <c r="G930" s="76">
        <f>IFERROR(vlookup(E930,Data!$A$2:$B$4,2,0), 0) + IFERROR(vlookup(F930,Data!$A$2:$B$4,2,0), 0)</f>
        <v>0</v>
      </c>
      <c r="H930" s="79"/>
    </row>
    <row r="931">
      <c r="A931" s="92"/>
      <c r="B931" s="79"/>
      <c r="C931" s="79"/>
      <c r="D931" s="43"/>
      <c r="E931" s="87"/>
      <c r="F931" s="87"/>
      <c r="G931" s="76">
        <f>IFERROR(vlookup(E931,Data!$A$2:$B$4,2,0), 0) + IFERROR(vlookup(F931,Data!$A$2:$B$4,2,0), 0)</f>
        <v>0</v>
      </c>
      <c r="H931" s="79"/>
    </row>
    <row r="932">
      <c r="A932" s="92"/>
      <c r="B932" s="79"/>
      <c r="C932" s="79"/>
      <c r="D932" s="43"/>
      <c r="E932" s="87"/>
      <c r="F932" s="87"/>
      <c r="G932" s="76">
        <f>IFERROR(vlookup(E932,Data!$A$2:$B$4,2,0), 0) + IFERROR(vlookup(F932,Data!$A$2:$B$4,2,0), 0)</f>
        <v>0</v>
      </c>
      <c r="H932" s="79"/>
    </row>
    <row r="933">
      <c r="A933" s="92"/>
      <c r="B933" s="79"/>
      <c r="C933" s="79"/>
      <c r="D933" s="43"/>
      <c r="E933" s="87"/>
      <c r="F933" s="87"/>
      <c r="G933" s="76">
        <f>IFERROR(vlookup(E933,Data!$A$2:$B$4,2,0), 0) + IFERROR(vlookup(F933,Data!$A$2:$B$4,2,0), 0)</f>
        <v>0</v>
      </c>
      <c r="H933" s="79"/>
    </row>
    <row r="934">
      <c r="A934" s="92"/>
      <c r="B934" s="79"/>
      <c r="C934" s="79"/>
      <c r="D934" s="43"/>
      <c r="E934" s="87"/>
      <c r="F934" s="87"/>
      <c r="G934" s="76">
        <f>IFERROR(vlookup(E934,Data!$A$2:$B$4,2,0), 0) + IFERROR(vlookup(F934,Data!$A$2:$B$4,2,0), 0)</f>
        <v>0</v>
      </c>
      <c r="H934" s="79"/>
    </row>
    <row r="935">
      <c r="A935" s="92"/>
      <c r="B935" s="79"/>
      <c r="C935" s="79"/>
      <c r="D935" s="43"/>
      <c r="E935" s="87"/>
      <c r="F935" s="87"/>
      <c r="G935" s="76">
        <f>IFERROR(vlookup(E935,Data!$A$2:$B$4,2,0), 0) + IFERROR(vlookup(F935,Data!$A$2:$B$4,2,0), 0)</f>
        <v>0</v>
      </c>
      <c r="H935" s="79"/>
    </row>
    <row r="936">
      <c r="A936" s="92"/>
      <c r="B936" s="79"/>
      <c r="C936" s="79"/>
      <c r="D936" s="43"/>
      <c r="E936" s="87"/>
      <c r="F936" s="87"/>
      <c r="G936" s="76">
        <f>IFERROR(vlookup(E936,Data!$A$2:$B$4,2,0), 0) + IFERROR(vlookup(F936,Data!$A$2:$B$4,2,0), 0)</f>
        <v>0</v>
      </c>
      <c r="H936" s="79"/>
    </row>
    <row r="937">
      <c r="A937" s="92"/>
      <c r="B937" s="79"/>
      <c r="C937" s="79"/>
      <c r="D937" s="43"/>
      <c r="E937" s="87"/>
      <c r="F937" s="87"/>
      <c r="G937" s="76">
        <f>IFERROR(vlookup(E937,Data!$A$2:$B$4,2,0), 0) + IFERROR(vlookup(F937,Data!$A$2:$B$4,2,0), 0)</f>
        <v>0</v>
      </c>
      <c r="H937" s="79"/>
    </row>
    <row r="938">
      <c r="A938" s="92"/>
      <c r="B938" s="79"/>
      <c r="C938" s="79"/>
      <c r="D938" s="43"/>
      <c r="E938" s="87"/>
      <c r="F938" s="87"/>
      <c r="G938" s="76">
        <f>IFERROR(vlookup(E938,Data!$A$2:$B$4,2,0), 0) + IFERROR(vlookup(F938,Data!$A$2:$B$4,2,0), 0)</f>
        <v>0</v>
      </c>
      <c r="H938" s="79"/>
    </row>
    <row r="939">
      <c r="A939" s="92"/>
      <c r="B939" s="79"/>
      <c r="C939" s="79"/>
      <c r="D939" s="43"/>
      <c r="E939" s="87"/>
      <c r="F939" s="87"/>
      <c r="G939" s="76">
        <f>IFERROR(vlookup(E939,Data!$A$2:$B$4,2,0), 0) + IFERROR(vlookup(F939,Data!$A$2:$B$4,2,0), 0)</f>
        <v>0</v>
      </c>
      <c r="H939" s="79"/>
    </row>
    <row r="940">
      <c r="A940" s="92"/>
      <c r="B940" s="79"/>
      <c r="C940" s="79"/>
      <c r="D940" s="43"/>
      <c r="E940" s="87"/>
      <c r="F940" s="87"/>
      <c r="G940" s="76">
        <f>IFERROR(vlookup(E940,Data!$A$2:$B$4,2,0), 0) + IFERROR(vlookup(F940,Data!$A$2:$B$4,2,0), 0)</f>
        <v>0</v>
      </c>
      <c r="H940" s="79"/>
    </row>
    <row r="941">
      <c r="A941" s="92"/>
      <c r="B941" s="79"/>
      <c r="C941" s="79"/>
      <c r="D941" s="43"/>
      <c r="E941" s="87"/>
      <c r="F941" s="87"/>
      <c r="G941" s="76">
        <f>IFERROR(vlookup(E941,Data!$A$2:$B$4,2,0), 0) + IFERROR(vlookup(F941,Data!$A$2:$B$4,2,0), 0)</f>
        <v>0</v>
      </c>
      <c r="H941" s="79"/>
    </row>
    <row r="942">
      <c r="A942" s="92"/>
      <c r="B942" s="79"/>
      <c r="C942" s="79"/>
      <c r="D942" s="43"/>
      <c r="E942" s="87"/>
      <c r="F942" s="87"/>
      <c r="G942" s="76">
        <f>IFERROR(vlookup(E942,Data!$A$2:$B$4,2,0), 0) + IFERROR(vlookup(F942,Data!$A$2:$B$4,2,0), 0)</f>
        <v>0</v>
      </c>
      <c r="H942" s="79"/>
    </row>
    <row r="943">
      <c r="A943" s="92"/>
      <c r="B943" s="79"/>
      <c r="C943" s="79"/>
      <c r="D943" s="43"/>
      <c r="E943" s="87"/>
      <c r="F943" s="87"/>
      <c r="G943" s="76">
        <f>IFERROR(vlookup(E943,Data!$A$2:$B$4,2,0), 0) + IFERROR(vlookup(F943,Data!$A$2:$B$4,2,0), 0)</f>
        <v>0</v>
      </c>
      <c r="H943" s="79"/>
    </row>
    <row r="944">
      <c r="A944" s="92"/>
      <c r="B944" s="79"/>
      <c r="C944" s="79"/>
      <c r="D944" s="43"/>
      <c r="E944" s="87"/>
      <c r="F944" s="87"/>
      <c r="G944" s="76">
        <f>IFERROR(vlookup(E944,Data!$A$2:$B$4,2,0), 0) + IFERROR(vlookup(F944,Data!$A$2:$B$4,2,0), 0)</f>
        <v>0</v>
      </c>
      <c r="H944" s="79"/>
    </row>
    <row r="945">
      <c r="A945" s="92"/>
      <c r="B945" s="79"/>
      <c r="C945" s="79"/>
      <c r="D945" s="43"/>
      <c r="E945" s="87"/>
      <c r="F945" s="87"/>
      <c r="G945" s="76">
        <f>IFERROR(vlookup(E945,Data!$A$2:$B$4,2,0), 0) + IFERROR(vlookup(F945,Data!$A$2:$B$4,2,0), 0)</f>
        <v>0</v>
      </c>
      <c r="H945" s="79"/>
    </row>
    <row r="946">
      <c r="A946" s="92"/>
      <c r="B946" s="79"/>
      <c r="C946" s="79"/>
      <c r="D946" s="43"/>
      <c r="E946" s="87"/>
      <c r="F946" s="87"/>
      <c r="G946" s="76">
        <f>IFERROR(vlookup(E946,Data!$A$2:$B$4,2,0), 0) + IFERROR(vlookup(F946,Data!$A$2:$B$4,2,0), 0)</f>
        <v>0</v>
      </c>
      <c r="H946" s="79"/>
    </row>
    <row r="947">
      <c r="A947" s="92"/>
      <c r="B947" s="79"/>
      <c r="C947" s="79"/>
      <c r="D947" s="43"/>
      <c r="E947" s="87"/>
      <c r="F947" s="87"/>
      <c r="G947" s="76">
        <f>IFERROR(vlookup(E947,Data!$A$2:$B$4,2,0), 0) + IFERROR(vlookup(F947,Data!$A$2:$B$4,2,0), 0)</f>
        <v>0</v>
      </c>
      <c r="H947" s="79"/>
    </row>
    <row r="948">
      <c r="A948" s="92"/>
      <c r="B948" s="79"/>
      <c r="C948" s="79"/>
      <c r="D948" s="43"/>
      <c r="E948" s="87"/>
      <c r="F948" s="87"/>
      <c r="G948" s="76">
        <f>IFERROR(vlookup(E948,Data!$A$2:$B$4,2,0), 0) + IFERROR(vlookup(F948,Data!$A$2:$B$4,2,0), 0)</f>
        <v>0</v>
      </c>
      <c r="H948" s="79"/>
    </row>
    <row r="949">
      <c r="A949" s="92"/>
      <c r="B949" s="79"/>
      <c r="C949" s="79"/>
      <c r="D949" s="43"/>
      <c r="E949" s="87"/>
      <c r="F949" s="87"/>
      <c r="G949" s="76">
        <f>IFERROR(vlookup(E949,Data!$A$2:$B$4,2,0), 0) + IFERROR(vlookup(F949,Data!$A$2:$B$4,2,0), 0)</f>
        <v>0</v>
      </c>
      <c r="H949" s="79"/>
    </row>
    <row r="950">
      <c r="A950" s="92"/>
      <c r="B950" s="79"/>
      <c r="C950" s="79"/>
      <c r="D950" s="43"/>
      <c r="E950" s="87"/>
      <c r="F950" s="87"/>
      <c r="G950" s="76">
        <f>IFERROR(vlookup(E950,Data!$A$2:$B$4,2,0), 0) + IFERROR(vlookup(F950,Data!$A$2:$B$4,2,0), 0)</f>
        <v>0</v>
      </c>
      <c r="H950" s="79"/>
    </row>
    <row r="951">
      <c r="A951" s="92"/>
      <c r="B951" s="79"/>
      <c r="C951" s="79"/>
      <c r="D951" s="43"/>
      <c r="E951" s="87"/>
      <c r="F951" s="87"/>
      <c r="G951" s="76">
        <f>IFERROR(vlookup(E951,Data!$A$2:$B$4,2,0), 0) + IFERROR(vlookup(F951,Data!$A$2:$B$4,2,0), 0)</f>
        <v>0</v>
      </c>
      <c r="H951" s="79"/>
    </row>
    <row r="952">
      <c r="A952" s="92"/>
      <c r="B952" s="79"/>
      <c r="C952" s="79"/>
      <c r="D952" s="43"/>
      <c r="E952" s="87"/>
      <c r="F952" s="87"/>
      <c r="G952" s="76">
        <f>IFERROR(vlookup(E952,Data!$A$2:$B$4,2,0), 0) + IFERROR(vlookup(F952,Data!$A$2:$B$4,2,0), 0)</f>
        <v>0</v>
      </c>
      <c r="H952" s="79"/>
    </row>
    <row r="953">
      <c r="A953" s="92"/>
      <c r="B953" s="79"/>
      <c r="C953" s="79"/>
      <c r="D953" s="43"/>
      <c r="E953" s="87"/>
      <c r="F953" s="87"/>
      <c r="G953" s="76">
        <f>IFERROR(vlookup(E953,Data!$A$2:$B$4,2,0), 0) + IFERROR(vlookup(F953,Data!$A$2:$B$4,2,0), 0)</f>
        <v>0</v>
      </c>
      <c r="H953" s="79"/>
    </row>
    <row r="954">
      <c r="A954" s="92"/>
      <c r="B954" s="79"/>
      <c r="C954" s="79"/>
      <c r="D954" s="43"/>
      <c r="E954" s="87"/>
      <c r="F954" s="87"/>
      <c r="G954" s="76">
        <f>IFERROR(vlookup(E954,Data!$A$2:$B$4,2,0), 0) + IFERROR(vlookup(F954,Data!$A$2:$B$4,2,0), 0)</f>
        <v>0</v>
      </c>
      <c r="H954" s="79"/>
    </row>
    <row r="955">
      <c r="A955" s="92"/>
      <c r="B955" s="79"/>
      <c r="C955" s="79"/>
      <c r="D955" s="43"/>
      <c r="E955" s="87"/>
      <c r="F955" s="87"/>
      <c r="G955" s="76">
        <f>IFERROR(vlookup(E955,Data!$A$2:$B$4,2,0), 0) + IFERROR(vlookup(F955,Data!$A$2:$B$4,2,0), 0)</f>
        <v>0</v>
      </c>
      <c r="H955" s="79"/>
    </row>
    <row r="956">
      <c r="A956" s="92"/>
      <c r="B956" s="79"/>
      <c r="C956" s="79"/>
      <c r="D956" s="43"/>
      <c r="E956" s="87"/>
      <c r="F956" s="87"/>
      <c r="G956" s="76">
        <f>IFERROR(vlookup(E956,Data!$A$2:$B$4,2,0), 0) + IFERROR(vlookup(F956,Data!$A$2:$B$4,2,0), 0)</f>
        <v>0</v>
      </c>
      <c r="H956" s="79"/>
    </row>
    <row r="957">
      <c r="A957" s="92"/>
      <c r="B957" s="79"/>
      <c r="C957" s="79"/>
      <c r="D957" s="43"/>
      <c r="E957" s="87"/>
      <c r="F957" s="87"/>
      <c r="G957" s="76">
        <f>IFERROR(vlookup(E957,Data!$A$2:$B$4,2,0), 0) + IFERROR(vlookup(F957,Data!$A$2:$B$4,2,0), 0)</f>
        <v>0</v>
      </c>
      <c r="H957" s="79"/>
    </row>
  </sheetData>
  <conditionalFormatting sqref="E2:F957">
    <cfRule type="cellIs" dxfId="5" priority="1" operator="equal">
      <formula>"Urgent"</formula>
    </cfRule>
  </conditionalFormatting>
  <conditionalFormatting sqref="E2:F957">
    <cfRule type="cellIs" dxfId="6" priority="2" operator="equal">
      <formula>"Nice to Have"</formula>
    </cfRule>
  </conditionalFormatting>
  <conditionalFormatting sqref="E2:F957">
    <cfRule type="cellIs" dxfId="7" priority="3" operator="equal">
      <formula>"Must Have"</formula>
    </cfRule>
  </conditionalFormatting>
  <dataValidations>
    <dataValidation type="list" allowBlank="1" sqref="E2:F957">
      <formula1>Data!$A$2:$A$6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  <col customWidth="1" min="4" max="4" width="27.63"/>
    <col customWidth="1" min="5" max="5" width="33.75"/>
  </cols>
  <sheetData>
    <row r="1">
      <c r="A1" s="48"/>
      <c r="B1" s="48" t="s">
        <v>483</v>
      </c>
      <c r="D1" s="48"/>
    </row>
    <row r="2">
      <c r="A2" s="27" t="s">
        <v>484</v>
      </c>
      <c r="B2" s="27">
        <v>3.0</v>
      </c>
      <c r="E2" s="131"/>
      <c r="F2" s="131"/>
    </row>
    <row r="3">
      <c r="A3" s="27" t="s">
        <v>14</v>
      </c>
      <c r="B3" s="27">
        <v>2.0</v>
      </c>
    </row>
    <row r="4">
      <c r="A4" s="27" t="s">
        <v>26</v>
      </c>
      <c r="B4" s="27">
        <v>1.0</v>
      </c>
    </row>
    <row r="5">
      <c r="A5" s="27" t="s">
        <v>485</v>
      </c>
      <c r="B5" s="27">
        <v>0.0</v>
      </c>
    </row>
    <row r="6">
      <c r="A6" s="27" t="s">
        <v>201</v>
      </c>
      <c r="B6" s="27">
        <v>0.0</v>
      </c>
    </row>
  </sheetData>
  <drawing r:id="rId1"/>
</worksheet>
</file>